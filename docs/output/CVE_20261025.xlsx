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VE_LIST" sheetId="1" state="visible" r:id="rId1"/>
    <sheet name="ME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49" fontId="1" fillId="2" borderId="0" applyAlignment="1" pivotButton="0" quotePrefix="0" xfId="0">
      <alignment horizontal="center" vertical="center"/>
    </xf>
    <xf numFmtId="49" fontId="0" fillId="0" borderId="0" applyAlignment="1" pivotButton="0" quotePrefix="0" xfId="0">
      <alignment vertical="top"/>
    </xf>
    <xf numFmtId="49" fontId="1" fillId="2"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77"/>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20" customWidth="1" min="3" max="3"/>
    <col width="34" customWidth="1" min="4" max="4"/>
    <col width="14" customWidth="1" min="5" max="5"/>
    <col width="10" customWidth="1" min="6" max="6"/>
    <col width="11" customWidth="1" min="7" max="7"/>
    <col width="42" customWidth="1" min="8" max="8"/>
    <col width="15" customWidth="1" min="9" max="9"/>
    <col width="15" customWidth="1" min="10" max="10"/>
    <col width="8" customWidth="1" min="11" max="11"/>
    <col width="80" customWidth="1" min="12" max="12"/>
    <col width="46" customWidth="1" min="13" max="13"/>
    <col width="12" customWidth="1" min="14" max="14"/>
    <col width="11" customWidth="1" min="15" max="15"/>
    <col width="16" customWidth="1" min="16" max="16"/>
  </cols>
  <sheetData>
    <row r="1">
      <c r="A1" s="1" t="inlineStr">
        <is>
          <t>CVE_ID</t>
        </is>
      </c>
      <c r="B1" s="1" t="inlineStr">
        <is>
          <t>SW_NAME</t>
        </is>
      </c>
      <c r="C1" s="1" t="inlineStr">
        <is>
          <t>VENDOR</t>
        </is>
      </c>
      <c r="D1" s="1" t="inlineStr">
        <is>
          <t>AFFECTED_RANGE</t>
        </is>
      </c>
      <c r="E1" s="1" t="inlineStr">
        <is>
          <t>FIXED_VERSION</t>
        </is>
      </c>
      <c r="F1" s="1" t="inlineStr">
        <is>
          <t>SEVERITY</t>
        </is>
      </c>
      <c r="G1" s="1" t="inlineStr">
        <is>
          <t>CVSS_SCORE</t>
        </is>
      </c>
      <c r="H1" s="1" t="inlineStr">
        <is>
          <t>CVSS_VECTOR</t>
        </is>
      </c>
      <c r="I1" s="1" t="inlineStr">
        <is>
          <t>PUBLISHED_DATE</t>
        </is>
      </c>
      <c r="J1" s="1" t="inlineStr">
        <is>
          <t>MODIFIED_DATE</t>
        </is>
      </c>
      <c r="K1" s="1" t="inlineStr">
        <is>
          <t>KEV_YN</t>
        </is>
      </c>
      <c r="L1" s="1" t="inlineStr">
        <is>
          <t>SUMMARY</t>
        </is>
      </c>
      <c r="M1" s="1" t="inlineStr">
        <is>
          <t>REFERENCE_URL</t>
        </is>
      </c>
      <c r="N1" s="1" t="inlineStr">
        <is>
          <t>SOURCE</t>
        </is>
      </c>
      <c r="O1" s="1" t="inlineStr">
        <is>
          <t>ECOSYSTEM</t>
        </is>
      </c>
      <c r="P1" s="1" t="inlineStr">
        <is>
          <t>COLLECTED_AT</t>
        </is>
      </c>
    </row>
    <row r="2">
      <c r="A2" s="2" t="inlineStr">
        <is>
          <t>CVE-2026-75128</t>
        </is>
      </c>
      <c r="B2" s="2" t="inlineStr">
        <is>
          <t>LangChain</t>
        </is>
      </c>
      <c r="C2" s="2" t="inlineStr">
        <is>
          <t>LangChain</t>
        </is>
      </c>
      <c r="D2" s="2" t="inlineStr">
        <is>
          <t>&lt;=0.3.1.3</t>
        </is>
      </c>
      <c r="E2" s="2" t="inlineStr"/>
      <c r="F2" s="2" t="inlineStr">
        <is>
          <t>CRITICAL</t>
        </is>
      </c>
      <c r="G2" s="2" t="inlineStr">
        <is>
          <t>9.8</t>
        </is>
      </c>
      <c r="H2" s="2" t="inlineStr">
        <is>
          <t>CVSS:3.1/AV:N/AC:L/PR:N/UI:N/S:U/C:H/I:H/A:H</t>
        </is>
      </c>
      <c r="I2" s="2" t="inlineStr">
        <is>
          <t>20261020</t>
        </is>
      </c>
      <c r="J2" s="2" t="inlineStr">
        <is>
          <t>20261020</t>
        </is>
      </c>
      <c r="K2" s="2" t="inlineStr">
        <is>
          <t>N</t>
        </is>
      </c>
      <c r="L2" s="2" t="inlineStr">
        <is>
          <t>Langchain-Chatchat through 0.3.1.3 exposes a POST /tools/call API endpoint that invokes any registered tool by name without authentication, leaving the always-registered shell tool callable. Remote attackers can send a single request naming the shell tool to execute arbitrary OS commands as the server user (root in the shipped Docker image).</t>
        </is>
      </c>
      <c r="M2" s="2" t="inlineStr">
        <is>
          <t>https://github.com/chatchat-space/Langchain-Chatchat/blob/a6a9193b5002061719f0eee62c6310bd5b1b7f63/libs/chatchat-server/chatchat/server/api_server/tool_routes.py#L33</t>
        </is>
      </c>
      <c r="N2" s="2" t="inlineStr">
        <is>
          <t>NVD</t>
        </is>
      </c>
      <c r="O2" s="2" t="inlineStr">
        <is>
          <t>pypi</t>
        </is>
      </c>
      <c r="P2" s="2" t="inlineStr">
        <is>
          <t>20261025230753</t>
        </is>
      </c>
    </row>
    <row r="3">
      <c r="A3" s="2" t="inlineStr">
        <is>
          <t>CVE-2026-26190</t>
        </is>
      </c>
      <c r="B3" s="2" t="inlineStr">
        <is>
          <t>Milvus</t>
        </is>
      </c>
      <c r="C3" s="2" t="inlineStr">
        <is>
          <t>Zilliz</t>
        </is>
      </c>
      <c r="D3" s="2" t="inlineStr">
        <is>
          <t>&gt;=2.6.0,&lt;2.6.10|&lt;2.5.27</t>
        </is>
      </c>
      <c r="E3" s="2" t="inlineStr">
        <is>
          <t>2.6.10</t>
        </is>
      </c>
      <c r="F3" s="2" t="inlineStr">
        <is>
          <t>CRITICAL</t>
        </is>
      </c>
      <c r="G3" s="2" t="inlineStr">
        <is>
          <t>9.8</t>
        </is>
      </c>
      <c r="H3" s="2" t="inlineStr">
        <is>
          <t>CVSS:3.1/AV:N/AC:L/PR:N/UI:N/S:U/C:H/I:H/A:H</t>
        </is>
      </c>
      <c r="I3" s="2" t="inlineStr">
        <is>
          <t>20260211</t>
        </is>
      </c>
      <c r="J3" s="2" t="inlineStr">
        <is>
          <t>20261022</t>
        </is>
      </c>
      <c r="K3" s="2" t="inlineStr">
        <is>
          <t>N</t>
        </is>
      </c>
      <c r="L3" s="2" t="inlineStr">
        <is>
          <t>Milvus: 메트릭 포트(9091)의 Restful API에 대한 인증되지 않은 액세스로 인해 심각한 시스템 손상 발생 ## 요약 Milvus는 기본적으로 두 가지 중요한 인증 우회 취약점으로 TCP 포트 9091을 노출합니다: 1. `/expr` 디버그 엔드포인트는 `etcd.rootPath`(기본값: `by-dev`)에서 파생된 약하고 예측 가능한 기본 인증 토큰을 사용하여 임의의 표현식 평가를 가능하게 합니다. 2. 전체 REST API(`/api/v1/*`)는 인증 없이 지표/관리 포트에 등록되어 데이터 조작 및 자격 증명 관리를 포함한 모든 비즈니스 작업에 대한 인증되지 않은 액세스를 허용합니다. ## 세부 정보 ### 취약점 1: `/expr` 엔드포인트의 취약한 기본 인증 포트 9091의 `/expr` 엔드포인트는 기본적으로 `etcd.rootPath` 값(`by-dev`)을 사용하는 `auth` 매개변수를 허용합니다. 이 값은 잘 알려져 있고 예측 가능합니다. 포트 9091에 도달할 수 있는 공격자는 임의의 내부 Go 표현식을 평가하여 다음을 수행할 수 있습니다. - **정보/자격 증명 공개**: 인터 읽기</t>
        </is>
      </c>
      <c r="M3" s="2" t="inlineStr">
        <is>
          <t>https://github.com/advisories/GHSA-7ppg-37fh-vcr6</t>
        </is>
      </c>
      <c r="N3" s="2" t="inlineStr">
        <is>
          <t>GHSA</t>
        </is>
      </c>
      <c r="O3" s="2" t="inlineStr">
        <is>
          <t>pypi</t>
        </is>
      </c>
      <c r="P3" s="2" t="inlineStr">
        <is>
          <t>20261025230840</t>
        </is>
      </c>
    </row>
    <row r="4">
      <c r="A4" s="2" t="inlineStr">
        <is>
          <t>CVE-2025-11200</t>
        </is>
      </c>
      <c r="B4" s="2" t="inlineStr">
        <is>
          <t>MLflow</t>
        </is>
      </c>
      <c r="C4" s="2" t="inlineStr">
        <is>
          <t>lfprojects</t>
        </is>
      </c>
      <c r="D4" s="2" t="inlineStr">
        <is>
          <t>&lt;=2.21.0</t>
        </is>
      </c>
      <c r="E4" s="2" t="inlineStr"/>
      <c r="F4" s="2" t="inlineStr">
        <is>
          <t>CRITICAL</t>
        </is>
      </c>
      <c r="G4" s="2" t="inlineStr">
        <is>
          <t>9.8</t>
        </is>
      </c>
      <c r="H4" s="2" t="inlineStr">
        <is>
          <t>CVSS:3.1/AV:N/AC:L/PR:N/UI:N/S:U/C:H/I:H/A:H</t>
        </is>
      </c>
      <c r="I4" s="2" t="inlineStr">
        <is>
          <t>20251029</t>
        </is>
      </c>
      <c r="J4" s="2" t="inlineStr">
        <is>
          <t>20261019</t>
        </is>
      </c>
      <c r="K4" s="2" t="inlineStr">
        <is>
          <t>N</t>
        </is>
      </c>
      <c r="L4" s="2" t="inlineStr">
        <is>
          <t>MLflow Weak Password Requirements Authentication Bypass Vulnerability. This vulnerability allows remote attackers to bypass authentication on affected installations of MLflow. Authentication is not required to exploit this vulnerability. The specific flaw exists within the handling of passwords. The issue results from weak password requirements. An attacker can leverage this vulnerability to bypass authentication on the system. Was ZDI-CAN-26916.</t>
        </is>
      </c>
      <c r="M4" s="2" t="inlineStr">
        <is>
          <t>https://github.com/mlflow/mlflow/commit/1f74f3f24d8273927b8db392c23e108576936c54</t>
        </is>
      </c>
      <c r="N4" s="2" t="inlineStr">
        <is>
          <t>NVD</t>
        </is>
      </c>
      <c r="O4" s="2" t="inlineStr">
        <is>
          <t>pypi</t>
        </is>
      </c>
      <c r="P4" s="2" t="inlineStr">
        <is>
          <t>20261025230753</t>
        </is>
      </c>
    </row>
    <row r="5">
      <c r="A5" s="2" t="inlineStr">
        <is>
          <t>CVE-2025-11201</t>
        </is>
      </c>
      <c r="B5" s="2" t="inlineStr">
        <is>
          <t>MLflow</t>
        </is>
      </c>
      <c r="C5" s="2" t="inlineStr">
        <is>
          <t>lfprojects</t>
        </is>
      </c>
      <c r="D5" s="2" t="inlineStr">
        <is>
          <t>&lt;2025-06-10</t>
        </is>
      </c>
      <c r="E5" s="2" t="inlineStr">
        <is>
          <t>2025-06-10</t>
        </is>
      </c>
      <c r="F5" s="2" t="inlineStr">
        <is>
          <t>CRITICAL</t>
        </is>
      </c>
      <c r="G5" s="2" t="inlineStr">
        <is>
          <t>9.8</t>
        </is>
      </c>
      <c r="H5" s="2" t="inlineStr">
        <is>
          <t>CVSS:3.1/AV:N/AC:L/PR:N/UI:N/S:U/C:H/I:H/A:H</t>
        </is>
      </c>
      <c r="I5" s="2" t="inlineStr">
        <is>
          <t>20251029</t>
        </is>
      </c>
      <c r="J5" s="2" t="inlineStr">
        <is>
          <t>20261019</t>
        </is>
      </c>
      <c r="K5" s="2" t="inlineStr">
        <is>
          <t>N</t>
        </is>
      </c>
      <c r="L5" s="2" t="inlineStr">
        <is>
          <t>MLflow Tracking Server Model Creation Directory Traversal Remote Code Execution Vulnerability. This vulnerability allows remote attackers to execute arbitrary code on affected installations of MLflow Tracking Server. Authentication is not required to exploit this vulnerability. The specific flaw exists within the handling of model file paths. The issue results from the lack of proper validation of a user-supplied path prior to using it in file operations. An attacker can leverage this vulnerability to execute code in the context of the service account. Was ZDI-CAN-26921.</t>
        </is>
      </c>
      <c r="M5" s="2" t="inlineStr">
        <is>
          <t>https://github.com/B-Step62/mlflow/commit/2e02bc7bb70df243e6eb792689d9b8eba0013161</t>
        </is>
      </c>
      <c r="N5" s="2" t="inlineStr">
        <is>
          <t>NVD</t>
        </is>
      </c>
      <c r="O5" s="2" t="inlineStr">
        <is>
          <t>pypi</t>
        </is>
      </c>
      <c r="P5" s="2" t="inlineStr">
        <is>
          <t>20261025230753</t>
        </is>
      </c>
    </row>
    <row r="6">
      <c r="A6" s="2" t="inlineStr">
        <is>
          <t>CVE-2026-65590</t>
        </is>
      </c>
      <c r="B6" s="2" t="inlineStr">
        <is>
          <t>n8n</t>
        </is>
      </c>
      <c r="C6" s="2" t="inlineStr">
        <is>
          <t>n8n</t>
        </is>
      </c>
      <c r="D6" s="2" t="inlineStr">
        <is>
          <t>&lt;2.29.8|==2.30.0</t>
        </is>
      </c>
      <c r="E6" s="2" t="inlineStr">
        <is>
          <t>2.29.8</t>
        </is>
      </c>
      <c r="F6" s="2" t="inlineStr">
        <is>
          <t>CRITICAL</t>
        </is>
      </c>
      <c r="G6" s="2" t="inlineStr">
        <is>
          <t>9.8</t>
        </is>
      </c>
      <c r="H6" s="2" t="inlineStr">
        <is>
          <t>CVSS:3.1/AV:N/AC:L/PR:N/UI:N/S:U/C:H/I:H/A:H</t>
        </is>
      </c>
      <c r="I6" s="2" t="inlineStr">
        <is>
          <t>20260722</t>
        </is>
      </c>
      <c r="J6" s="2" t="inlineStr">
        <is>
          <t>20261024</t>
        </is>
      </c>
      <c r="K6" s="2" t="inlineStr">
        <is>
          <t>N</t>
        </is>
      </c>
      <c r="L6" s="2" t="inlineStr">
        <is>
          <t>n8n before 2.29.8 and 2.30.x before 2.30.1 does not enforce shell sandbox restrictions on Linux and Windows in the @n8n/computer-use package (sandboxing was applied only on macOS). Shell commands executed by the tool run without any filesystem or network restrictions, allowing unrestricted access to the host filesystem and network from within the computer-use agent process. This issue only affects deployments where the @n8n/computer-use package is explicitly installed and running; standard n8n installations are not affected.</t>
        </is>
      </c>
      <c r="M6" s="2" t="inlineStr">
        <is>
          <t>https://github.com/n8n-io/n8n/security/advisories/GHSA-fpg6-x68q-5793</t>
        </is>
      </c>
      <c r="N6" s="2" t="inlineStr">
        <is>
          <t>NVD</t>
        </is>
      </c>
      <c r="O6" s="2" t="inlineStr">
        <is>
          <t>npm</t>
        </is>
      </c>
      <c r="P6" s="2" t="inlineStr">
        <is>
          <t>20261025230753</t>
        </is>
      </c>
    </row>
    <row r="7">
      <c r="A7" s="2" t="inlineStr">
        <is>
          <t>CVE-2026-96639</t>
        </is>
      </c>
      <c r="B7" s="2" t="inlineStr">
        <is>
          <t>Pillow</t>
        </is>
      </c>
      <c r="C7" s="2" t="inlineStr">
        <is>
          <t>Python Pillow</t>
        </is>
      </c>
      <c r="D7" s="2" t="inlineStr">
        <is>
          <t>&gt;=11.0.0,&lt;13.0.0</t>
        </is>
      </c>
      <c r="E7" s="2" t="inlineStr">
        <is>
          <t>13.0.0</t>
        </is>
      </c>
      <c r="F7" s="2" t="inlineStr">
        <is>
          <t>CRITICAL</t>
        </is>
      </c>
      <c r="G7" s="2" t="inlineStr">
        <is>
          <t>9.8</t>
        </is>
      </c>
      <c r="H7" s="2" t="inlineStr">
        <is>
          <t>CVSS:3.1/AV:N/AC:L/PR:N/UI:N/S:U/C:H/I:H/A:H</t>
        </is>
      </c>
      <c r="I7" s="2" t="inlineStr">
        <is>
          <t>20261021</t>
        </is>
      </c>
      <c r="J7" s="2" t="inlineStr">
        <is>
          <t>20261022</t>
        </is>
      </c>
      <c r="K7" s="2" t="inlineStr">
        <is>
          <t>N</t>
        </is>
      </c>
      <c r="L7" s="2" t="inlineStr">
        <is>
          <t>Pillow is a Python imaging library. From 11.0.0 until 13.0.0, multi-frame loaders can retain an ImagingCore allocation created for a narrow frame mode while a later frame of the same dimensions changes the logical mode and decoder tiles to wider RGB or CMYK data. ImageFile.load_prepare() reuses the stale native storage because _im is non-null without verifying that its mode and size still match. Crafted PSD, MPO, DCX, or MIC frame transitions can then write wider pixels into the narrow allocation, causing native out-of-bounds writes and crashes. The MPO path can also cause a native over-read and, in demonstrated runtime-specific profiles, command execution. This issue is fixed in version 13.0.0.</t>
        </is>
      </c>
      <c r="M7" s="2" t="inlineStr">
        <is>
          <t>https://github.com/python-pillow/Pillow/commit/78d97d994579aef81aafe123773d525f40f2522a</t>
        </is>
      </c>
      <c r="N7" s="2" t="inlineStr">
        <is>
          <t>NVD+OSV+GHSA</t>
        </is>
      </c>
      <c r="O7" s="2" t="inlineStr">
        <is>
          <t>pypi</t>
        </is>
      </c>
      <c r="P7" s="2" t="inlineStr">
        <is>
          <t>20261025230840</t>
        </is>
      </c>
    </row>
    <row r="8">
      <c r="A8" s="2" t="inlineStr">
        <is>
          <t>CVE-2025-68664</t>
        </is>
      </c>
      <c r="B8" s="2" t="inlineStr">
        <is>
          <t>LangChain</t>
        </is>
      </c>
      <c r="C8" s="2" t="inlineStr">
        <is>
          <t>langchain</t>
        </is>
      </c>
      <c r="D8" s="2" t="inlineStr">
        <is>
          <t>&lt;0.3.81|&gt;=1.0.0,&lt;1.2.5</t>
        </is>
      </c>
      <c r="E8" s="2" t="inlineStr"/>
      <c r="F8" s="2" t="inlineStr">
        <is>
          <t>CRITICAL</t>
        </is>
      </c>
      <c r="G8" s="2" t="inlineStr">
        <is>
          <t>9.3</t>
        </is>
      </c>
      <c r="H8" s="2" t="inlineStr">
        <is>
          <t>CVSS:3.1/AV:N/AC:L/PR:N/UI:N/S:C/C:H/I:L/A:N</t>
        </is>
      </c>
      <c r="I8" s="2" t="inlineStr">
        <is>
          <t>20251223</t>
        </is>
      </c>
      <c r="J8" s="2" t="inlineStr">
        <is>
          <t>20261019</t>
        </is>
      </c>
      <c r="K8" s="2" t="inlineStr">
        <is>
          <t>N</t>
        </is>
      </c>
      <c r="L8" s="2" t="inlineStr">
        <is>
          <t>LangChain is a framework for building agents and LLM-powered applications. Prior to versions 0.3.81 and 1.2.5, a serialization injection vulnerability exists in LangChain's dumps() and dumpd() functions. The functions do not escape dictionaries with 'lc' keys when serializing free-form dictionaries. The 'lc' key is used internally by LangChain to mark serialized objects. When user-controlled data contains this key structure, it is treated as a legitimate LangChain object during deserialization rather than plain user data. This issue has been patched in versions 0.3.81 and 1.2.5.</t>
        </is>
      </c>
      <c r="M8" s="2" t="inlineStr">
        <is>
          <t>https://github.com/langchain-ai/langchain/commit/5ec0fa69de31bbe3d76e4cf9cd65a6accb8466c8</t>
        </is>
      </c>
      <c r="N8" s="2" t="inlineStr">
        <is>
          <t>NVD</t>
        </is>
      </c>
      <c r="O8" s="2" t="inlineStr">
        <is>
          <t>pypi</t>
        </is>
      </c>
      <c r="P8" s="2" t="inlineStr">
        <is>
          <t>20261025230753</t>
        </is>
      </c>
    </row>
    <row r="9">
      <c r="A9" s="2" t="inlineStr">
        <is>
          <t>CVE-2026-112393</t>
        </is>
      </c>
      <c r="B9" s="2" t="inlineStr">
        <is>
          <t>Pillow</t>
        </is>
      </c>
      <c r="C9" s="2" t="inlineStr">
        <is>
          <t>Python Pillow</t>
        </is>
      </c>
      <c r="D9" s="2" t="inlineStr">
        <is>
          <t>&gt;=2.0.0,&lt;13.0.0</t>
        </is>
      </c>
      <c r="E9" s="2" t="inlineStr">
        <is>
          <t>13.0.0</t>
        </is>
      </c>
      <c r="F9" s="2" t="inlineStr">
        <is>
          <t>CRITICAL</t>
        </is>
      </c>
      <c r="G9" s="2" t="inlineStr">
        <is>
          <t>9.2</t>
        </is>
      </c>
      <c r="H9" s="2" t="inlineStr">
        <is>
          <t>CVSS:4.0/AV:N/AC:H/AT:P/PR:N/UI:N/VC:H/VI:H/VA:H/SC:N/SI:N/SA:N/E:X/CR:X/IR:X/AR:X/MAV:X/MAC:X/MAT:X/MPR:X/MUI:X/MVC:X/MVI:X/MVA:X/MSC:X/MSI:X/MSA:X/S:X/AU:X/R:X/V:X/RE:X/U:X</t>
        </is>
      </c>
      <c r="I9" s="2" t="inlineStr">
        <is>
          <t>20261019</t>
        </is>
      </c>
      <c r="J9" s="2" t="inlineStr">
        <is>
          <t>20261021</t>
        </is>
      </c>
      <c r="K9" s="2" t="inlineStr">
        <is>
          <t>N</t>
        </is>
      </c>
      <c r="L9" s="2" t="inlineStr">
        <is>
          <t>Pillow is a Python imaging library. From 2.0.0 until 13.0.0, Pillow has a heap buffer overflow and stale-heap disclosure in _tiffWriteProc when saving compressed TIFF data through libtiff to a target without a usable fileno(), such as BytesIO. The callback sizes its allocation from the prior buffer size instead of the current write position, allowing an attacker-controlled out-of-line TIFF tag or retained ICC profile to be copied beyond the allocation after libtiff seeks forward. This overflow can crash the process and may allow code execution. Independently, unwritten alignment gaps in compressed TIFF output larger than 64 KiB can disclose stale heap bytes without a crafted tag. File paths and targets with real file descriptors are unaffected. This issue is fixed in version 13.0.0.</t>
        </is>
      </c>
      <c r="M9" s="2" t="inlineStr">
        <is>
          <t>https://github.com/python-pillow/Pillow/commit/11582e5ffbdceb973d5ee593f3105af5a9852b40</t>
        </is>
      </c>
      <c r="N9" s="2" t="inlineStr">
        <is>
          <t>NVD+OSV+GHSA</t>
        </is>
      </c>
      <c r="O9" s="2" t="inlineStr">
        <is>
          <t>pypi</t>
        </is>
      </c>
      <c r="P9" s="2" t="inlineStr">
        <is>
          <t>20261025230840</t>
        </is>
      </c>
    </row>
    <row r="10">
      <c r="A10" s="2" t="inlineStr">
        <is>
          <t>CVE-2026-112398</t>
        </is>
      </c>
      <c r="B10" s="2" t="inlineStr">
        <is>
          <t>Pillow</t>
        </is>
      </c>
      <c r="C10" s="2" t="inlineStr">
        <is>
          <t>Python Pillow</t>
        </is>
      </c>
      <c r="D10" s="2" t="inlineStr">
        <is>
          <t>&lt;13.0.0</t>
        </is>
      </c>
      <c r="E10" s="2" t="inlineStr">
        <is>
          <t>13.0.0</t>
        </is>
      </c>
      <c r="F10" s="2" t="inlineStr">
        <is>
          <t>CRITICAL</t>
        </is>
      </c>
      <c r="G10" s="2" t="inlineStr">
        <is>
          <t>9.2</t>
        </is>
      </c>
      <c r="H10" s="2" t="inlineStr">
        <is>
          <t>CVSS:4.0/AV:N/AC:H/AT:N/PR:N/UI:N/VC:H/VI:H/VA:H/SC:N/SI:N/SA:N/E:X/CR:X/IR:X/AR:X/MAV:X/MAC:X/MAT:X/MPR:X/MUI:X/MVC:X/MVI:X/MVA:X/MSC:X/MSI:X/MSA:X/S:X/AU:X/R:X/V:X/RE:X/U:X</t>
        </is>
      </c>
      <c r="I10" s="2" t="inlineStr">
        <is>
          <t>20261019</t>
        </is>
      </c>
      <c r="J10" s="2" t="inlineStr">
        <is>
          <t>20261023</t>
        </is>
      </c>
      <c r="K10" s="2" t="inlineStr">
        <is>
          <t>N</t>
        </is>
      </c>
      <c r="L10" s="2" t="inlineStr">
        <is>
          <t>Pillow is a Python imaging library. Prior to 13.0.0, Pillow's FlashPix JPEG-tile decoder can write decoded scanlines beyond the allocated tile buffer. FlashPix (FPX) JPEG decoding selects raw mode LA with two bytes per pixel, while an unrecognized JPEG mode can be decoded as JCS_UNKNOWN with four components, causing ImagingJpegDecode to write four-component scanlines into the two-byte tile buffer. An attacker can supply a crafted OLE2 FlashPix file to an application with the optional olefile dependency installed that opens or thumbnails untrusted input. This can corrupt heap memory and may allow arbitrary code execution. This issue is fixed in version 13.0.0.</t>
        </is>
      </c>
      <c r="M10" s="2" t="inlineStr">
        <is>
          <t>https://github.com/python-pillow/Pillow/commit/242a059aedc1935097d9aa1dc3f099750467ba75</t>
        </is>
      </c>
      <c r="N10" s="2" t="inlineStr">
        <is>
          <t>NVD+OSV+GHSA</t>
        </is>
      </c>
      <c r="O10" s="2" t="inlineStr">
        <is>
          <t>pypi</t>
        </is>
      </c>
      <c r="P10" s="2" t="inlineStr">
        <is>
          <t>20261025230840</t>
        </is>
      </c>
    </row>
    <row r="11">
      <c r="A11" s="2" t="inlineStr">
        <is>
          <t>CVE-2026-112403</t>
        </is>
      </c>
      <c r="B11" s="2" t="inlineStr">
        <is>
          <t>Pillow</t>
        </is>
      </c>
      <c r="C11" s="2" t="inlineStr">
        <is>
          <t>Python Pillow</t>
        </is>
      </c>
      <c r="D11" s="2" t="inlineStr">
        <is>
          <t>&lt;13.0.0</t>
        </is>
      </c>
      <c r="E11" s="2" t="inlineStr">
        <is>
          <t>13.0.0</t>
        </is>
      </c>
      <c r="F11" s="2" t="inlineStr">
        <is>
          <t>CRITICAL</t>
        </is>
      </c>
      <c r="G11" s="2" t="inlineStr">
        <is>
          <t>9.2</t>
        </is>
      </c>
      <c r="H11" s="2" t="inlineStr">
        <is>
          <t>CVSS:4.0/AV:N/AC:H/AT:N/PR:N/UI:N/VC:H/VI:H/VA:H/SC:N/SI:N/SA:N/E:X/CR:X/IR:X/AR:X/MAV:X/MAC:X/MAT:X/MPR:X/MUI:X/MVC:X/MVI:X/MVA:X/MSC:X/MSI:X/MSA:X/S:X/AU:X/R:X/V:X/RE:X/U:X</t>
        </is>
      </c>
      <c r="I11" s="2" t="inlineStr">
        <is>
          <t>20261019</t>
        </is>
      </c>
      <c r="J11" s="2" t="inlineStr">
        <is>
          <t>20261022</t>
        </is>
      </c>
      <c r="K11" s="2" t="inlineStr">
        <is>
          <t>N</t>
        </is>
      </c>
      <c r="L11" s="2" t="inlineStr">
        <is>
          <t>Pillow is a Python imaging library. Prior to 13.0.0, Pillow's JPEG decoder can write a full-width scanline into a buffer sized for a requested draft scale. ImagingJpegDecode does not verify libjpeg's actual output width and component count after scaling is requested, and an 8-bit lossless SOF3 JPEG decoded by a build linked to libjpeg-turbo 3.x can ignore the requested downscaling geometry. An attacker can supply such a JPEG to an application that uses draft() or thumbnail() to request downscaling. This can corrupt heap memory, crash the process, or potentially allow code execution. Older libjpeg-turbo 2.x and IJG builds reject the SOF3 input. This issue is fixed in version 13.0.0.</t>
        </is>
      </c>
      <c r="M11" s="2" t="inlineStr">
        <is>
          <t>https://github.com/python-pillow/Pillow/commit/242a059aedc1935097d9aa1dc3f099750467ba75</t>
        </is>
      </c>
      <c r="N11" s="2" t="inlineStr">
        <is>
          <t>NVD+OSV+GHSA</t>
        </is>
      </c>
      <c r="O11" s="2" t="inlineStr">
        <is>
          <t>pypi</t>
        </is>
      </c>
      <c r="P11" s="2" t="inlineStr">
        <is>
          <t>20261025230840</t>
        </is>
      </c>
    </row>
    <row r="12">
      <c r="A12" s="2" t="inlineStr">
        <is>
          <t>CVE-2026-112900</t>
        </is>
      </c>
      <c r="B12" s="2" t="inlineStr">
        <is>
          <t>Pillow</t>
        </is>
      </c>
      <c r="C12" s="2" t="inlineStr">
        <is>
          <t>Python Pillow</t>
        </is>
      </c>
      <c r="D12" s="2" t="inlineStr">
        <is>
          <t>&gt;=2.6.0,&lt;13.0.0</t>
        </is>
      </c>
      <c r="E12" s="2" t="inlineStr">
        <is>
          <t>13.0.0</t>
        </is>
      </c>
      <c r="F12" s="2" t="inlineStr">
        <is>
          <t>CRITICAL</t>
        </is>
      </c>
      <c r="G12" s="2" t="inlineStr">
        <is>
          <t>9.2</t>
        </is>
      </c>
      <c r="H12" s="2" t="inlineStr">
        <is>
          <t>CVSS:4.0/AV:N/AC:L/AT:P/PR:N/UI:N/VC:H/VI:H/VA:H/SC:N/SI:N/SA:N/E:X/CR:X/IR:X/AR:X/MAV:X/MAC:X/MAT:X/MPR:X/MUI:X/MVC:X/MVI:X/MVA:X/MSC:X/MSI:X/MSA:X/S:X/AU:X/R:X/V:X/RE:X/U:X</t>
        </is>
      </c>
      <c r="I12" s="2" t="inlineStr">
        <is>
          <t>20261019</t>
        </is>
      </c>
      <c r="J12" s="2" t="inlineStr">
        <is>
          <t>20261021</t>
        </is>
      </c>
      <c r="K12" s="2" t="inlineStr">
        <is>
          <t>N</t>
        </is>
      </c>
      <c r="L12" s="2" t="inlineStr">
        <is>
          <t>Pillow is a Python imaging library. From 2.6.0 until 13.0.0, Pillow is vulnerable to argument injection when invoking Ghostscript for EPS input. EpsImagePlugin.Ghostscript passes a caller-controlled input filename after -f without converting it to a safe absolute path, so a name beginning with a hyphen can be interpreted as a Ghostscript option. An attacker who controls the filename can inject Ghostscript arguments. Arbitrary command execution specifically requires a leading @ argument-file filename and control of the referenced text file containing additional Ghostscript arguments; the reported chain reproduces with the default -dSAFER invocation. This issue is fixed in version 13.0.0.</t>
        </is>
      </c>
      <c r="M12" s="2" t="inlineStr">
        <is>
          <t>https://github.com/python-pillow/Pillow/commit/a2c363141da31a265dd536c945677db4b64f3ec9</t>
        </is>
      </c>
      <c r="N12" s="2" t="inlineStr">
        <is>
          <t>NVD+OSV+GHSA</t>
        </is>
      </c>
      <c r="O12" s="2" t="inlineStr">
        <is>
          <t>pypi</t>
        </is>
      </c>
      <c r="P12" s="2" t="inlineStr">
        <is>
          <t>20261025230840</t>
        </is>
      </c>
    </row>
    <row r="13">
      <c r="A13" s="2" t="inlineStr">
        <is>
          <t>CVE-2026-54058</t>
        </is>
      </c>
      <c r="B13" s="2" t="inlineStr">
        <is>
          <t>Pillow</t>
        </is>
      </c>
      <c r="C13" s="2" t="inlineStr">
        <is>
          <t>python</t>
        </is>
      </c>
      <c r="D13" s="2" t="inlineStr">
        <is>
          <t>&lt;12.3.0</t>
        </is>
      </c>
      <c r="E13" s="2" t="inlineStr">
        <is>
          <t>12.3.0</t>
        </is>
      </c>
      <c r="F13" s="2" t="inlineStr">
        <is>
          <t>CRITICAL</t>
        </is>
      </c>
      <c r="G13" s="2" t="inlineStr">
        <is>
          <t>9.1</t>
        </is>
      </c>
      <c r="H13" s="2" t="inlineStr">
        <is>
          <t>CVSS:3.1/AV:N/AC:L/PR:N/UI:N/S:U/C:H/I:N/A:H</t>
        </is>
      </c>
      <c r="I13" s="2" t="inlineStr">
        <is>
          <t>20260714</t>
        </is>
      </c>
      <c r="J13" s="2" t="inlineStr">
        <is>
          <t>20261024</t>
        </is>
      </c>
      <c r="K13" s="2" t="inlineStr">
        <is>
          <t>N</t>
        </is>
      </c>
      <c r="L13" s="2" t="inlineStr">
        <is>
          <t>Pillow is a Python imaging library. Prior to 12.3.0, when Pillow loads an uncompressed McIdas AREA image from a filename through the mmap raw codec path, attacker-controlled header words can set a row stride smaller than the natural row width, causing pixel access such as Image.tobytes(), getpixel, convert, or save to read beyond the mapped region and disclose adjacent process memory or fault. This issue is fixed in version 12.3.0.</t>
        </is>
      </c>
      <c r="M13" s="2" t="inlineStr">
        <is>
          <t>https://github.com/python-pillow/Pillow/commit/6a8de891fb00968e5ea79bfa84368ed90b3cfc1d</t>
        </is>
      </c>
      <c r="N13" s="2" t="inlineStr">
        <is>
          <t>NVD</t>
        </is>
      </c>
      <c r="O13" s="2" t="inlineStr">
        <is>
          <t>pypi</t>
        </is>
      </c>
      <c r="P13" s="2" t="inlineStr">
        <is>
          <t>20261025230753</t>
        </is>
      </c>
    </row>
    <row r="14">
      <c r="A14" s="2" t="inlineStr">
        <is>
          <t>CVE-2026-92206</t>
        </is>
      </c>
      <c r="B14" s="2" t="inlineStr">
        <is>
          <t>CrewAI</t>
        </is>
      </c>
      <c r="C14" s="2" t="inlineStr">
        <is>
          <t>CrewAI</t>
        </is>
      </c>
      <c r="D14" s="2" t="inlineStr">
        <is>
          <t>*</t>
        </is>
      </c>
      <c r="E14" s="2" t="inlineStr"/>
      <c r="F14" s="2" t="inlineStr">
        <is>
          <t>HIGH</t>
        </is>
      </c>
      <c r="G14" s="2" t="inlineStr">
        <is>
          <t>8.8</t>
        </is>
      </c>
      <c r="H14" s="2" t="inlineStr">
        <is>
          <t>CVSS:3.0/AV:N/AC:L/PR:N/UI:R/S:U/C:H/I:H/A:H</t>
        </is>
      </c>
      <c r="I14" s="2" t="inlineStr">
        <is>
          <t>20261021</t>
        </is>
      </c>
      <c r="J14" s="2" t="inlineStr">
        <is>
          <t>20261021</t>
        </is>
      </c>
      <c r="K14" s="2" t="inlineStr">
        <is>
          <t>N</t>
        </is>
      </c>
      <c r="L14" s="2" t="inlineStr">
        <is>
          <t>[버전범위 불명확] CrewAI crewAI Framework Agent Loading Unsafe Reflection Remote Code Execution Vulnerability. This vulnerability allows remote attackers to execute arbitrary code on affected installations of CrewAI crewAI. User interaction is required to exploit this vulnerability in that the target must load a malicious agent configuration from the repository. The specific flaw exists within the load_agent_from_repository function. The process does not properly restrict a user-supplied argument before using it to import a module. An attacker can leverage this vulnerability to execute code in the context of the service account. Was ZDI-CAN-28387.</t>
        </is>
      </c>
      <c r="M14" s="2" t="inlineStr">
        <is>
          <t>https://www.zerodayinitiative.com/advisories/ZDI-26-706/</t>
        </is>
      </c>
      <c r="N14" s="2" t="inlineStr">
        <is>
          <t>NVD</t>
        </is>
      </c>
      <c r="O14" s="2" t="inlineStr">
        <is>
          <t>pypi</t>
        </is>
      </c>
      <c r="P14" s="2" t="inlineStr">
        <is>
          <t>20261025230753</t>
        </is>
      </c>
    </row>
    <row r="15">
      <c r="A15" s="2" t="inlineStr">
        <is>
          <t>CVE-2026-114140</t>
        </is>
      </c>
      <c r="B15" s="2" t="inlineStr">
        <is>
          <t>Jupyter Notebook</t>
        </is>
      </c>
      <c r="C15" s="2" t="inlineStr">
        <is>
          <t>Project Jupyter</t>
        </is>
      </c>
      <c r="D15" s="2" t="inlineStr">
        <is>
          <t>&gt;=5.4.0,&lt;7.17.2</t>
        </is>
      </c>
      <c r="E15" s="2" t="inlineStr">
        <is>
          <t>7.17.2</t>
        </is>
      </c>
      <c r="F15" s="2" t="inlineStr">
        <is>
          <t>HIGH</t>
        </is>
      </c>
      <c r="G15" s="2" t="inlineStr">
        <is>
          <t>8.8</t>
        </is>
      </c>
      <c r="H15" s="2" t="inlineStr">
        <is>
          <t>CVSS:4.0/AV:N/AC:L/AT:P/PR:L/UI:A/VC:H/VI:H/VA:H/SC:H/SI:H/SA:H/E:X/CR:X/IR:X/AR:X/MAV:X/MAC:X/MAT:X/MPR:X/MUI:X/MVC:X/MVI:X/MVA:X/MSC:X/MSI:X/MSA:X/S:X/AU:X/R:X/V:X/RE:X/U:X</t>
        </is>
      </c>
      <c r="I15" s="2" t="inlineStr">
        <is>
          <t>20261021</t>
        </is>
      </c>
      <c r="J15" s="2" t="inlineStr">
        <is>
          <t>20261022</t>
        </is>
      </c>
      <c r="K15" s="2" t="inlineStr">
        <is>
          <t>N</t>
        </is>
      </c>
      <c r="L15" s="2" t="inlineStr">
        <is>
          <t>The nbconvert tool, jupyter nbconvert, converts Jupyter notebooks to various other formats via Jinja templates. From 5.4.0 until 7.17.2, ExtractOutputPreprocessor in nbconvert/preprocessors/extractoutput.py joins the attacker-controlled cell output metadata filename to output_files_dir without limiting the result to the intended directory. When a victim converts a malicious notebook with the markdown, LaTeX, reStructuredText, or AsciiDoc exporter, path traversal in the output filename can write attacker-controlled output data to arbitrary locations accessible to the victim. Running the notebook cell again replaces the malicious output metadata, but merely converting the supplied notebook does not. This issue is fixed in version 7.17.2.</t>
        </is>
      </c>
      <c r="M15" s="2" t="inlineStr">
        <is>
          <t>https://github.com/jupyter/nbconvert/commit/ce4bd99aec31d81d759fa8eeb8643179392ec66f</t>
        </is>
      </c>
      <c r="N15" s="2" t="inlineStr">
        <is>
          <t>NVD</t>
        </is>
      </c>
      <c r="O15" s="2" t="inlineStr">
        <is>
          <t>pypi</t>
        </is>
      </c>
      <c r="P15" s="2" t="inlineStr">
        <is>
          <t>20261025230753</t>
        </is>
      </c>
    </row>
    <row r="16">
      <c r="A16" s="2" t="inlineStr">
        <is>
          <t>CVE-2025-62726</t>
        </is>
      </c>
      <c r="B16" s="2" t="inlineStr">
        <is>
          <t>n8n</t>
        </is>
      </c>
      <c r="C16" s="2" t="inlineStr">
        <is>
          <t>n8n</t>
        </is>
      </c>
      <c r="D16" s="2" t="inlineStr">
        <is>
          <t>&lt;1.113.0</t>
        </is>
      </c>
      <c r="E16" s="2" t="inlineStr">
        <is>
          <t>1.113.0</t>
        </is>
      </c>
      <c r="F16" s="2" t="inlineStr">
        <is>
          <t>HIGH</t>
        </is>
      </c>
      <c r="G16" s="2" t="inlineStr">
        <is>
          <t>8.8</t>
        </is>
      </c>
      <c r="H16" s="2" t="inlineStr">
        <is>
          <t>CVSS:3.1/AV:N/AC:L/PR:L/UI:N/S:U/C:H/I:H/A:H</t>
        </is>
      </c>
      <c r="I16" s="2" t="inlineStr">
        <is>
          <t>20251030</t>
        </is>
      </c>
      <c r="J16" s="2" t="inlineStr">
        <is>
          <t>20261019</t>
        </is>
      </c>
      <c r="K16" s="2" t="inlineStr">
        <is>
          <t>N</t>
        </is>
      </c>
      <c r="L16" s="2" t="inlineStr">
        <is>
          <t>n8n is an open source workflow automation platform. Prior to 1.113.0, a remote code execution vulnerability exists in the Git Node component available in both Cloud and Self-Hosted versions of n8n. When a malicious actor clones a remote repository containing a pre-commit hook, the subsequent use of the Commit operation in the Git Node can inadvertently trigger the hook’s execution. This allows attackers to execute arbitrary code within the n8n environment, potentially compromising the system and any connected credentials or workflows. This vulnerability is fixed in 1.113.0.</t>
        </is>
      </c>
      <c r="M16" s="2" t="inlineStr">
        <is>
          <t>https://github.com/n8n-io/n8n/commit/5bf3db5ba84d3195bbe11bbd3c62f7086e090997</t>
        </is>
      </c>
      <c r="N16" s="2" t="inlineStr">
        <is>
          <t>NVD</t>
        </is>
      </c>
      <c r="O16" s="2" t="inlineStr">
        <is>
          <t>npm</t>
        </is>
      </c>
      <c r="P16" s="2" t="inlineStr">
        <is>
          <t>20261025230753</t>
        </is>
      </c>
    </row>
    <row r="17">
      <c r="A17" s="2" t="inlineStr">
        <is>
          <t>CVE-2026-59257</t>
        </is>
      </c>
      <c r="B17" s="2" t="inlineStr">
        <is>
          <t>n8n</t>
        </is>
      </c>
      <c r="C17" s="2" t="inlineStr">
        <is>
          <t>n8n</t>
        </is>
      </c>
      <c r="D17" s="2" t="inlineStr">
        <is>
          <t>&lt;1.123.61|&gt;=2.0.0,&lt;2.27.4|==2.28.0</t>
        </is>
      </c>
      <c r="E17" s="2" t="inlineStr"/>
      <c r="F17" s="2" t="inlineStr">
        <is>
          <t>HIGH</t>
        </is>
      </c>
      <c r="G17" s="2" t="inlineStr">
        <is>
          <t>8.8</t>
        </is>
      </c>
      <c r="H17" s="2" t="inlineStr">
        <is>
          <t>CVSS:3.1/AV:N/AC:L/PR:L/UI:N/S:U/C:H/I:H/A:H</t>
        </is>
      </c>
      <c r="I17" s="2" t="inlineStr">
        <is>
          <t>20260708</t>
        </is>
      </c>
      <c r="J17" s="2" t="inlineStr">
        <is>
          <t>20261025</t>
        </is>
      </c>
      <c r="K17" s="2" t="inlineStr">
        <is>
          <t>N</t>
        </is>
      </c>
      <c r="L17" s="2" t="inlineStr">
        <is>
          <t>n8n before 1.123.61, 2.x before 2.27.4, and 2.28.x before 2.28.1 contains a SQL injection vulnerability in the legacy MySQL v1 node's executeQuery operation. The operation substitutes evaluated {{ ... }} expression values directly into the raw SQL string without parameterization. When a workflow uses this operation with expression-sourced values and is connected to an externally-reachable trigger (such as a Webhook node), attacker-controlled input reaching those expressions results in SQL injection, allowing execution of arbitrary SQL with the configured MySQL credentials' privileges. The MySQL v2 node, which uses parameterized queries, is not affected.</t>
        </is>
      </c>
      <c r="M17" s="2" t="inlineStr">
        <is>
          <t>https://github.com/n8n-io/n8n/security/advisories/GHSA-hwmj-qg4v-cvg9</t>
        </is>
      </c>
      <c r="N17" s="2" t="inlineStr">
        <is>
          <t>NVD</t>
        </is>
      </c>
      <c r="O17" s="2" t="inlineStr">
        <is>
          <t>npm</t>
        </is>
      </c>
      <c r="P17" s="2" t="inlineStr">
        <is>
          <t>20261025230753</t>
        </is>
      </c>
    </row>
    <row r="18">
      <c r="A18" s="2" t="inlineStr">
        <is>
          <t>CVE-2026-65015</t>
        </is>
      </c>
      <c r="B18" s="2" t="inlineStr">
        <is>
          <t>n8n</t>
        </is>
      </c>
      <c r="C18" s="2" t="inlineStr">
        <is>
          <t>n8n</t>
        </is>
      </c>
      <c r="D18" s="2" t="inlineStr">
        <is>
          <t>&lt;2.29.8|==2.30.0</t>
        </is>
      </c>
      <c r="E18" s="2" t="inlineStr">
        <is>
          <t>2.29.8</t>
        </is>
      </c>
      <c r="F18" s="2" t="inlineStr">
        <is>
          <t>HIGH</t>
        </is>
      </c>
      <c r="G18" s="2" t="inlineStr">
        <is>
          <t>8.8</t>
        </is>
      </c>
      <c r="H18" s="2" t="inlineStr">
        <is>
          <t>CVSS:3.1/AV:N/AC:L/PR:L/UI:N/S:U/C:H/I:H/A:H</t>
        </is>
      </c>
      <c r="I18" s="2" t="inlineStr">
        <is>
          <t>20260722</t>
        </is>
      </c>
      <c r="J18" s="2" t="inlineStr">
        <is>
          <t>20261024</t>
        </is>
      </c>
      <c r="K18" s="2" t="inlineStr">
        <is>
          <t>N</t>
        </is>
      </c>
      <c r="L18" s="2" t="inlineStr">
        <is>
          <t>n8n versions before 2.30.1 contain a privilege escalation vulnerability in the AI Agents feature where the node-execution tool lacks proper authorization checks. A Project Viewer user can escalate privileges by chatting with an agent that has node tools enabled, executing arbitrary nodes and accessing credential secrets without proper authorization verification.</t>
        </is>
      </c>
      <c r="M18" s="2" t="inlineStr">
        <is>
          <t>https://github.com/n8n-io/n8n/security/advisories/GHSA-x5vx-c2c8-m3w9</t>
        </is>
      </c>
      <c r="N18" s="2" t="inlineStr">
        <is>
          <t>NVD</t>
        </is>
      </c>
      <c r="O18" s="2" t="inlineStr">
        <is>
          <t>npm</t>
        </is>
      </c>
      <c r="P18" s="2" t="inlineStr">
        <is>
          <t>20261025230753</t>
        </is>
      </c>
    </row>
    <row r="19">
      <c r="A19" s="2" t="inlineStr">
        <is>
          <t>CVE-2026-65016</t>
        </is>
      </c>
      <c r="B19" s="2" t="inlineStr">
        <is>
          <t>n8n</t>
        </is>
      </c>
      <c r="C19" s="2" t="inlineStr">
        <is>
          <t>n8n</t>
        </is>
      </c>
      <c r="D19" s="2" t="inlineStr">
        <is>
          <t>&lt;1.123.64|&gt;=2.0.0,&lt;2.29.8|==2.30.0</t>
        </is>
      </c>
      <c r="E19" s="2" t="inlineStr"/>
      <c r="F19" s="2" t="inlineStr">
        <is>
          <t>HIGH</t>
        </is>
      </c>
      <c r="G19" s="2" t="inlineStr">
        <is>
          <t>8.8</t>
        </is>
      </c>
      <c r="H19" s="2" t="inlineStr">
        <is>
          <t>CVSS:3.1/AV:N/AC:L/PR:L/UI:N/S:U/C:H/I:H/A:H</t>
        </is>
      </c>
      <c r="I19" s="2" t="inlineStr">
        <is>
          <t>20260722</t>
        </is>
      </c>
      <c r="J19" s="2" t="inlineStr">
        <is>
          <t>20261024</t>
        </is>
      </c>
      <c r="K19" s="2" t="inlineStr">
        <is>
          <t>N</t>
        </is>
      </c>
      <c r="L19" s="2" t="inlineStr">
        <is>
          <t>n8n versions before 1.123.64, 2.29.8, and 2.30.1 contain a privilege escalation vulnerability in Enterprise SSO instance-role provisioning. The provisioning path maps an IdP-asserted role claim to an n8n global role but does not prevent assignment of the global:owner role (unlike the token-exchange identity path, which rejects it). An SSO-authenticated user whose instance-role claim resolves to global:owner is provisioned as instance owner, gaining full administrative control over workflows, credentials, users, and instance configuration. Exploitation requires that Enterprise SSO is configured, instance-role provisioning is enabled via N8N_SSO_SCOPES_PROVISION_INSTANCE_ROLE (disabled by default), and the attacker controls the instance-role claim value issued by the IdP.</t>
        </is>
      </c>
      <c r="M19" s="2" t="inlineStr">
        <is>
          <t>https://github.com/n8n-io/n8n/security/advisories/GHSA-35q8-9mj6-wjmf</t>
        </is>
      </c>
      <c r="N19" s="2" t="inlineStr">
        <is>
          <t>NVD</t>
        </is>
      </c>
      <c r="O19" s="2" t="inlineStr">
        <is>
          <t>npm</t>
        </is>
      </c>
      <c r="P19" s="2" t="inlineStr">
        <is>
          <t>20261025230753</t>
        </is>
      </c>
    </row>
    <row r="20">
      <c r="A20" s="2" t="inlineStr">
        <is>
          <t>CVE-2026-65591</t>
        </is>
      </c>
      <c r="B20" s="2" t="inlineStr">
        <is>
          <t>n8n</t>
        </is>
      </c>
      <c r="C20" s="2" t="inlineStr">
        <is>
          <t>n8n</t>
        </is>
      </c>
      <c r="D20" s="2" t="inlineStr">
        <is>
          <t>&lt;1.123.64|&gt;=2.0.0,&lt;2.29.8|==2.30.0</t>
        </is>
      </c>
      <c r="E20" s="2" t="inlineStr"/>
      <c r="F20" s="2" t="inlineStr">
        <is>
          <t>HIGH</t>
        </is>
      </c>
      <c r="G20" s="2" t="inlineStr">
        <is>
          <t>8.8</t>
        </is>
      </c>
      <c r="H20" s="2" t="inlineStr">
        <is>
          <t>CVSS:3.1/AV:N/AC:L/PR:L/UI:N/S:U/C:H/I:H/A:H</t>
        </is>
      </c>
      <c r="I20" s="2" t="inlineStr">
        <is>
          <t>20260722</t>
        </is>
      </c>
      <c r="J20" s="2" t="inlineStr">
        <is>
          <t>20261024</t>
        </is>
      </c>
      <c r="K20" s="2" t="inlineStr">
        <is>
          <t>N</t>
        </is>
      </c>
      <c r="L20" s="2" t="inlineStr">
        <is>
          <t>n8n contains a sanitizer bypass vulnerability in the legacy expression evaluator's computed-member handler. An authenticated user with workflow create or modify permissions can craft a malicious expression to bypass the sanitizer and achieve host-level code execution as the n8n process. The legacy expression engine is the default in affected versions. Fixed in n8n 1.123.64, 2.29.8, and 2.30.1.</t>
        </is>
      </c>
      <c r="M20" s="2" t="inlineStr">
        <is>
          <t>https://github.com/n8n-io/n8n/security/advisories/GHSA-pm35-fqvh-cq5g</t>
        </is>
      </c>
      <c r="N20" s="2" t="inlineStr">
        <is>
          <t>NVD</t>
        </is>
      </c>
      <c r="O20" s="2" t="inlineStr">
        <is>
          <t>npm</t>
        </is>
      </c>
      <c r="P20" s="2" t="inlineStr">
        <is>
          <t>20261025230753</t>
        </is>
      </c>
    </row>
    <row r="21">
      <c r="A21" s="2" t="inlineStr">
        <is>
          <t>CVE-2026-65595</t>
        </is>
      </c>
      <c r="B21" s="2" t="inlineStr">
        <is>
          <t>n8n</t>
        </is>
      </c>
      <c r="C21" s="2" t="inlineStr">
        <is>
          <t>n8n</t>
        </is>
      </c>
      <c r="D21" s="2" t="inlineStr">
        <is>
          <t>&lt;2.29.8|==2.30.0</t>
        </is>
      </c>
      <c r="E21" s="2" t="inlineStr">
        <is>
          <t>2.29.8</t>
        </is>
      </c>
      <c r="F21" s="2" t="inlineStr">
        <is>
          <t>HIGH</t>
        </is>
      </c>
      <c r="G21" s="2" t="inlineStr">
        <is>
          <t>8.8</t>
        </is>
      </c>
      <c r="H21" s="2" t="inlineStr">
        <is>
          <t>CVSS:3.1/AV:N/AC:L/PR:L/UI:N/S:U/C:H/I:H/A:H</t>
        </is>
      </c>
      <c r="I21" s="2" t="inlineStr">
        <is>
          <t>20260722</t>
        </is>
      </c>
      <c r="J21" s="2" t="inlineStr">
        <is>
          <t>20261024</t>
        </is>
      </c>
      <c r="K21" s="2" t="inlineStr">
        <is>
          <t>N</t>
        </is>
      </c>
      <c r="L21" s="2" t="inlineStr">
        <is>
          <t>n8n before 2.30.1 and 2.29.8 assigns all Public API key scopes to JWTs issued through the Token Exchange module regardless of the acting user's role. On instances where the Token Exchange feature and Public API are enabled, a low-privileged user who can obtain a valid external JWT trusted by a configured issuer can use the resulting access token to invoke administrator-only Public API operations such as role escalation, user creation, and user deletion (role escalation requires an Advanced Permissions license), and, when unverified Community Package installation is enabled, achieve remote code execution.</t>
        </is>
      </c>
      <c r="M21" s="2" t="inlineStr">
        <is>
          <t>https://github.com/n8n-io/n8n/security/advisories/GHSA-777w-rpr6-c52h</t>
        </is>
      </c>
      <c r="N21" s="2" t="inlineStr">
        <is>
          <t>NVD</t>
        </is>
      </c>
      <c r="O21" s="2" t="inlineStr">
        <is>
          <t>npm</t>
        </is>
      </c>
      <c r="P21" s="2" t="inlineStr">
        <is>
          <t>20261025230753</t>
        </is>
      </c>
    </row>
    <row r="22">
      <c r="A22" s="2" t="inlineStr">
        <is>
          <t>CVE-2026-112404</t>
        </is>
      </c>
      <c r="B22" s="2" t="inlineStr">
        <is>
          <t>Pillow</t>
        </is>
      </c>
      <c r="C22" s="2" t="inlineStr">
        <is>
          <t>Python Pillow</t>
        </is>
      </c>
      <c r="D22" s="2" t="inlineStr">
        <is>
          <t>&gt;=8.1.0,&lt;13.0.0</t>
        </is>
      </c>
      <c r="E22" s="2" t="inlineStr">
        <is>
          <t>13.0.0</t>
        </is>
      </c>
      <c r="F22" s="2" t="inlineStr">
        <is>
          <t>HIGH</t>
        </is>
      </c>
      <c r="G22" s="2" t="inlineStr">
        <is>
          <t>8.8</t>
        </is>
      </c>
      <c r="H22" s="2" t="inlineStr">
        <is>
          <t>CVSS:4.0/AV:N/AC:L/AT:N/PR:N/UI:N/VC:L/VI:N/VA:H/SC:N/SI:N/SA:N/E:X/CR:X/IR:X/AR:X/MAV:X/MAC:X/MAT:X/MPR:X/MUI:X/MVC:X/MVI:X/MVA:X/MSC:X/MSI:X/MSA:X/S:X/AU:X/R:X/V:X/RE:X/U:X</t>
        </is>
      </c>
      <c r="I22" s="2" t="inlineStr">
        <is>
          <t>20261019</t>
        </is>
      </c>
      <c r="J22" s="2" t="inlineStr">
        <is>
          <t>20261020</t>
        </is>
      </c>
      <c r="K22" s="2" t="inlineStr">
        <is>
          <t>N</t>
        </is>
      </c>
      <c r="L22" s="2" t="inlineStr">
        <is>
          <t>Pillow is a Python imaging library. From 8.1.0 until 13.0.0, Pillow's TIFF tile and RGBA decode paths can read beyond row data produced by libtiff. In _decodeTile and the RGBA unpacker path, when Pillow and libtiff interpret duplicated PhotometricInterpretation or BitsPerSample tags differently, Pillow does not verify that the required input row fits inside the row libtiff produced, while the strip path has this validation. Loading pixels from such a crafted TIFF can expose adjacent heap data in output pixels or crash the process. This issue is fixed in version 13.0.0.</t>
        </is>
      </c>
      <c r="M22" s="2" t="inlineStr">
        <is>
          <t>https://github.com/python-pillow/Pillow/commit/1d4773e6cea0c4a2814e6d4cdc099bbcf56da6ce</t>
        </is>
      </c>
      <c r="N22" s="2" t="inlineStr">
        <is>
          <t>NVD+OSV+GHSA</t>
        </is>
      </c>
      <c r="O22" s="2" t="inlineStr">
        <is>
          <t>pypi</t>
        </is>
      </c>
      <c r="P22" s="2" t="inlineStr">
        <is>
          <t>20261025230840</t>
        </is>
      </c>
    </row>
    <row r="23">
      <c r="A23" s="2" t="inlineStr">
        <is>
          <t>CVE-2026-112896</t>
        </is>
      </c>
      <c r="B23" s="2" t="inlineStr">
        <is>
          <t>Pillow</t>
        </is>
      </c>
      <c r="C23" s="2" t="inlineStr">
        <is>
          <t>Python Pillow</t>
        </is>
      </c>
      <c r="D23" s="2" t="inlineStr">
        <is>
          <t>&lt;13.0.0</t>
        </is>
      </c>
      <c r="E23" s="2" t="inlineStr">
        <is>
          <t>13.0.0</t>
        </is>
      </c>
      <c r="F23" s="2" t="inlineStr">
        <is>
          <t>HIGH</t>
        </is>
      </c>
      <c r="G23" s="2" t="inlineStr">
        <is>
          <t>8.8</t>
        </is>
      </c>
      <c r="H23" s="2" t="inlineStr">
        <is>
          <t>CVSS:4.0/AV:N/AC:L/AT:N/PR:N/UI:N/VC:L/VI:N/VA:H/SC:N/SI:N/SA:N/E:X/CR:X/IR:X/AR:X/MAV:X/MAC:X/MAT:X/MPR:X/MUI:X/MVC:X/MVI:X/MVA:X/MSC:X/MSI:X/MSA:X/S:X/AU:X/R:X/V:X/RE:X/U:X</t>
        </is>
      </c>
      <c r="I23" s="2" t="inlineStr">
        <is>
          <t>20261019</t>
        </is>
      </c>
      <c r="J23" s="2" t="inlineStr">
        <is>
          <t>20261020</t>
        </is>
      </c>
      <c r="K23" s="2" t="inlineStr">
        <is>
          <t>N</t>
        </is>
      </c>
      <c r="L23" s="2" t="inlineStr">
        <is>
          <t>Pillow is a Python imaging library. Prior to 13.0.0, Pillow's TIFF encoder can read beyond a ColorMap buffer when retained TIFF metadata has a plane size inconsistent with BitsPerSample. A small TIFF can be opened normally and then retain a crafted ColorMap that is reused when the image is saved. An application that re-encodes the attacker's TIFF with libtiff can trigger the out-of-bounds read. This can disclose heap memory in the output or crash the process. This issue is fixed in version 13.0.0.</t>
        </is>
      </c>
      <c r="M23" s="2" t="inlineStr">
        <is>
          <t>https://github.com/python-pillow/Pillow/commit/d03dc3c587a9b0bdc9e4304d70d59a635a87b742</t>
        </is>
      </c>
      <c r="N23" s="2" t="inlineStr">
        <is>
          <t>NVD+OSV+GHSA</t>
        </is>
      </c>
      <c r="O23" s="2" t="inlineStr">
        <is>
          <t>pypi</t>
        </is>
      </c>
      <c r="P23" s="2" t="inlineStr">
        <is>
          <t>20261025230840</t>
        </is>
      </c>
    </row>
    <row r="24">
      <c r="A24" s="2" t="inlineStr">
        <is>
          <t>CVE-2025-62164</t>
        </is>
      </c>
      <c r="B24" s="2" t="inlineStr">
        <is>
          <t>vLLM</t>
        </is>
      </c>
      <c r="C24" s="2" t="inlineStr">
        <is>
          <t>vllm</t>
        </is>
      </c>
      <c r="D24" s="2" t="inlineStr">
        <is>
          <t>&gt;=0.10.2,&lt;0.11.1|==0.11.1</t>
        </is>
      </c>
      <c r="E24" s="2" t="inlineStr">
        <is>
          <t>0.11.1</t>
        </is>
      </c>
      <c r="F24" s="2" t="inlineStr">
        <is>
          <t>HIGH</t>
        </is>
      </c>
      <c r="G24" s="2" t="inlineStr">
        <is>
          <t>8.8</t>
        </is>
      </c>
      <c r="H24" s="2" t="inlineStr">
        <is>
          <t>CVSS:3.1/AV:N/AC:L/PR:L/UI:N/S:U/C:H/I:H/A:H</t>
        </is>
      </c>
      <c r="I24" s="2" t="inlineStr">
        <is>
          <t>20251121</t>
        </is>
      </c>
      <c r="J24" s="2" t="inlineStr">
        <is>
          <t>20261019</t>
        </is>
      </c>
      <c r="K24" s="2" t="inlineStr">
        <is>
          <t>N</t>
        </is>
      </c>
      <c r="L24" s="2" t="inlineStr">
        <is>
          <t>vLLM is an inference and serving engine for large language models (LLMs). From versions 0.10.2 to before 0.11.1, a memory corruption vulnerability could lead to a crash (denial-of-service) and potentially remote code execution (RCE), exists in the Completions API endpoint. When processing user-supplied prompt embeddings, the endpoint loads serialized tensors using torch.load() without sufficient validation. Due to a change introduced in PyTorch 2.8.0, sparse tensor integrity checks are disabled by default. As a result, maliciously crafted tensors can bypass internal bounds checks and trigger an out-of-bounds memory write during the call to to_dense(). This memory corruption can crash vLLM and potentially lead to code execution on the server hosting vLLM. This issue has been patched in version 0.11.1.</t>
        </is>
      </c>
      <c r="M24" s="2" t="inlineStr">
        <is>
          <t>https://github.com/vllm-project/vllm/commit/58fab50d82838d5014f4a14d991fdb9352c9c84b</t>
        </is>
      </c>
      <c r="N24" s="2" t="inlineStr">
        <is>
          <t>NVD</t>
        </is>
      </c>
      <c r="O24" s="2" t="inlineStr">
        <is>
          <t>pypi</t>
        </is>
      </c>
      <c r="P24" s="2" t="inlineStr">
        <is>
          <t>20261025230753</t>
        </is>
      </c>
    </row>
    <row r="25">
      <c r="A25" s="2" t="inlineStr">
        <is>
          <t>CVE-2026-56340</t>
        </is>
      </c>
      <c r="B25" s="2" t="inlineStr">
        <is>
          <t>vLLM</t>
        </is>
      </c>
      <c r="C25" s="2" t="inlineStr">
        <is>
          <t>vllm</t>
        </is>
      </c>
      <c r="D25" s="2" t="inlineStr">
        <is>
          <t>&gt;=0.10.2,&lt;0.13.0</t>
        </is>
      </c>
      <c r="E25" s="2" t="inlineStr">
        <is>
          <t>0.13.0</t>
        </is>
      </c>
      <c r="F25" s="2" t="inlineStr">
        <is>
          <t>HIGH</t>
        </is>
      </c>
      <c r="G25" s="2" t="inlineStr">
        <is>
          <t>8.8</t>
        </is>
      </c>
      <c r="H25" s="2" t="inlineStr">
        <is>
          <t>CVSS:3.1/AV:N/AC:L/PR:L/UI:N/S:U/C:H/I:H/A:H</t>
        </is>
      </c>
      <c r="I25" s="2" t="inlineStr">
        <is>
          <t>20260620</t>
        </is>
      </c>
      <c r="J25" s="2" t="inlineStr">
        <is>
          <t>20261023</t>
        </is>
      </c>
      <c r="K25" s="2" t="inlineStr">
        <is>
          <t>N</t>
        </is>
      </c>
      <c r="L25" s="2" t="inlineStr">
        <is>
          <t>vLLM versions &gt;= 0.10.2 and &lt; 0.13.0 are missing sparse tensor validation in multimodal embeddings processing. Because PyTorch disables sparse tensor invariant checks by default, an attacker can submit crafted embedding requests with malformed (negative or out-of-bounds) tensor indices, when the prompt-embeds feature is enabled, to trigger crashes or resource exhaustion (denial of service), with potential for out-of-bounds/write-what-where memory corruption. This continues CVE-2025-62164, whose prior fix only disabled the feature by default rather than addressing the root cause.</t>
        </is>
      </c>
      <c r="M25" s="2" t="inlineStr">
        <is>
          <t>https://github.com/vllm-project/vllm/security/advisories/GHSA-mcmc-2m55-j8jj</t>
        </is>
      </c>
      <c r="N25" s="2" t="inlineStr">
        <is>
          <t>NVD</t>
        </is>
      </c>
      <c r="O25" s="2" t="inlineStr">
        <is>
          <t>pypi</t>
        </is>
      </c>
      <c r="P25" s="2" t="inlineStr">
        <is>
          <t>20261025230753</t>
        </is>
      </c>
    </row>
    <row r="26">
      <c r="A26" s="2" t="inlineStr">
        <is>
          <t>CVE-2026-109290</t>
        </is>
      </c>
      <c r="B26" s="2" t="inlineStr">
        <is>
          <t>Open WebUI</t>
        </is>
      </c>
      <c r="C26" s="2" t="inlineStr">
        <is>
          <t>Open WebUI</t>
        </is>
      </c>
      <c r="D26" s="2" t="inlineStr">
        <is>
          <t>&lt;0.11.4</t>
        </is>
      </c>
      <c r="E26" s="2" t="inlineStr"/>
      <c r="F26" s="2" t="inlineStr">
        <is>
          <t>HIGH</t>
        </is>
      </c>
      <c r="G26" s="2" t="inlineStr">
        <is>
          <t>8.7</t>
        </is>
      </c>
      <c r="H26" s="2" t="inlineStr">
        <is>
          <t>CVSS:3.1/AV:N/AC:L/PR:L/UI:R/S:C/C:H/I:H/A:N</t>
        </is>
      </c>
      <c r="I26" s="2" t="inlineStr">
        <is>
          <t>20261012</t>
        </is>
      </c>
      <c r="J26" s="2" t="inlineStr">
        <is>
          <t>20261023</t>
        </is>
      </c>
      <c r="K26" s="2" t="inlineStr">
        <is>
          <t>N</t>
        </is>
      </c>
      <c r="L26" s="2" t="inlineStr">
        <is>
          <t>0.11.1 이전 0.11.4의 Open WebUI에는 인증된 사용자가 조작된 DOCX 첨부 파일을 업로드하여 스크립트를 실행할 수 있도록 허용하는 DocxPreview.svelte에 저장된 교차 사이트 스크립팅 취약점이 포함되어 있습니다. 공격자는 OOXML altChunk HTML 부분이나 스크립트 구성표 하이퍼링크를 삽입하여 로컬 저장소에서 미리 보기 관리자 세션 토큰을 훔치고 인스턴스를 장악할 수 있습니다.</t>
        </is>
      </c>
      <c r="M26" s="2" t="inlineStr">
        <is>
          <t>https://github.com/open-webui/open-webui/security/advisories/GHSA-f9xp-mfmq-x6cg</t>
        </is>
      </c>
      <c r="N26" s="2" t="inlineStr">
        <is>
          <t>NVD</t>
        </is>
      </c>
      <c r="O26" s="2" t="inlineStr">
        <is>
          <t>pypi</t>
        </is>
      </c>
      <c r="P26" s="2" t="inlineStr">
        <is>
          <t>20261025230753</t>
        </is>
      </c>
    </row>
    <row r="27">
      <c r="A27" s="2" t="inlineStr">
        <is>
          <t>CVE-2026-112397</t>
        </is>
      </c>
      <c r="B27" s="2" t="inlineStr">
        <is>
          <t>Pillow</t>
        </is>
      </c>
      <c r="C27" s="2" t="inlineStr">
        <is>
          <t>Python Pillow</t>
        </is>
      </c>
      <c r="D27" s="2" t="inlineStr">
        <is>
          <t>&lt;13.0.0</t>
        </is>
      </c>
      <c r="E27" s="2" t="inlineStr">
        <is>
          <t>13.0.0</t>
        </is>
      </c>
      <c r="F27" s="2" t="inlineStr">
        <is>
          <t>HIGH</t>
        </is>
      </c>
      <c r="G27" s="2" t="inlineStr">
        <is>
          <t>8.7</t>
        </is>
      </c>
      <c r="H27" s="2" t="inlineStr">
        <is>
          <t>CVSS:4.0/AV:N/AC:L/AT:N/PR:N/UI:N/VC:N/VI:N/VA:H/SC:N/SI:N/SA:N/E:X/CR:X/IR:X/AR:X/MAV:X/MAC:X/MAT:X/MPR:X/MUI:X/MVC:X/MVI:X/MVA:X/MSC:X/MSI:X/MSA:X/S:X/AU:X/R:X/V:X/RE:X/U:X</t>
        </is>
      </c>
      <c r="I27" s="2" t="inlineStr">
        <is>
          <t>20261019</t>
        </is>
      </c>
      <c r="J27" s="2" t="inlineStr">
        <is>
          <t>20261020</t>
        </is>
      </c>
      <c r="K27" s="2" t="inlineStr">
        <is>
          <t>N</t>
        </is>
      </c>
      <c r="L27" s="2" t="inlineStr">
        <is>
          <t>Pillow is a Python imaging library. Prior to 13.0.0, Pillow's ImageMorph.MorphOp.apply() can access memory before a row buffer for a zero-width image. PPM and PGM input can create an image with width zero, and the native morphology routine indexes outrow[width - 1] without rejecting that geometry. An attacker can supply such an image to an application that applies a morphology operation. This can crash the process. This issue is fixed in version 13.0.0.</t>
        </is>
      </c>
      <c r="M27" s="2" t="inlineStr">
        <is>
          <t>https://github.com/python-pillow/Pillow/commit/18f7c0dfee93063c51db6ed0ca8c4da2999dcb64</t>
        </is>
      </c>
      <c r="N27" s="2" t="inlineStr">
        <is>
          <t>NVD+OSV+GHSA</t>
        </is>
      </c>
      <c r="O27" s="2" t="inlineStr">
        <is>
          <t>pypi</t>
        </is>
      </c>
      <c r="P27" s="2" t="inlineStr">
        <is>
          <t>20261025230840</t>
        </is>
      </c>
    </row>
    <row r="28">
      <c r="A28" s="2" t="inlineStr">
        <is>
          <t>CVE-2026-112399</t>
        </is>
      </c>
      <c r="B28" s="2" t="inlineStr">
        <is>
          <t>Pillow</t>
        </is>
      </c>
      <c r="C28" s="2" t="inlineStr">
        <is>
          <t>Python Pillow</t>
        </is>
      </c>
      <c r="D28" s="2" t="inlineStr">
        <is>
          <t>&gt;=8.1.0,&lt;13.0.0</t>
        </is>
      </c>
      <c r="E28" s="2" t="inlineStr">
        <is>
          <t>13.0.0</t>
        </is>
      </c>
      <c r="F28" s="2" t="inlineStr">
        <is>
          <t>HIGH</t>
        </is>
      </c>
      <c r="G28" s="2" t="inlineStr">
        <is>
          <t>8.7</t>
        </is>
      </c>
      <c r="H28" s="2" t="inlineStr">
        <is>
          <t>CVSS:4.0/AV:N/AC:L/AT:N/PR:N/UI:N/VC:N/VI:N/VA:H/SC:N/SI:N/SA:N/E:X/CR:X/IR:X/AR:X/MAV:X/MAC:X/MAT:X/MPR:X/MUI:X/MVC:X/MVI:X/MVA:X/MSC:X/MSI:X/MSA:X/S:X/AU:X/R:X/V:X/RE:X/U:X</t>
        </is>
      </c>
      <c r="I28" s="2" t="inlineStr">
        <is>
          <t>20261019</t>
        </is>
      </c>
      <c r="J28" s="2" t="inlineStr">
        <is>
          <t>20261021</t>
        </is>
      </c>
      <c r="K28" s="2" t="inlineStr">
        <is>
          <t>N</t>
        </is>
      </c>
      <c r="L28" s="2" t="inlineStr">
        <is>
          <t>Pillow is a Python imaging library. From 8.1.0 until 13.0.0, Pillow can allocate an APNG disposal background at the full canvas size before applying the decompression-bomb check. A crafted APNG with a small first frame, a very large declared canvas, and background disposal or first-frame OP_PREVIOUS reaches PngImageFile._seek while Image.open() positions frame zero. The full-canvas allocation occurs inside Image.open() without requiring pixel loading or frame iteration. This can exhaust memory and deny service. This issue is fixed in version 13.0.0.</t>
        </is>
      </c>
      <c r="M28" s="2" t="inlineStr">
        <is>
          <t>https://github.com/python-pillow/Pillow/commit/f1acfc54c53502948d0d14121872061df931db48</t>
        </is>
      </c>
      <c r="N28" s="2" t="inlineStr">
        <is>
          <t>NVD+OSV+GHSA</t>
        </is>
      </c>
      <c r="O28" s="2" t="inlineStr">
        <is>
          <t>pypi</t>
        </is>
      </c>
      <c r="P28" s="2" t="inlineStr">
        <is>
          <t>20261025230840</t>
        </is>
      </c>
    </row>
    <row r="29">
      <c r="A29" s="2" t="inlineStr">
        <is>
          <t>CVE-2026-112400</t>
        </is>
      </c>
      <c r="B29" s="2" t="inlineStr">
        <is>
          <t>Pillow</t>
        </is>
      </c>
      <c r="C29" s="2" t="inlineStr">
        <is>
          <t>Python Pillow</t>
        </is>
      </c>
      <c r="D29" s="2" t="inlineStr">
        <is>
          <t>&gt;=9.2.0,&lt;13.0.0</t>
        </is>
      </c>
      <c r="E29" s="2" t="inlineStr">
        <is>
          <t>13.0.0</t>
        </is>
      </c>
      <c r="F29" s="2" t="inlineStr">
        <is>
          <t>HIGH</t>
        </is>
      </c>
      <c r="G29" s="2" t="inlineStr">
        <is>
          <t>8.7</t>
        </is>
      </c>
      <c r="H29" s="2" t="inlineStr">
        <is>
          <t>CVSS:4.0/AV:N/AC:L/AT:N/PR:N/UI:N/VC:N/VI:N/VA:H/SC:N/SI:N/SA:N/E:X/CR:X/IR:X/AR:X/MAV:X/MAC:X/MAT:X/MPR:X/MUI:X/MVC:X/MVI:X/MVA:X/MSC:X/MSI:X/MSA:X/S:X/AU:X/R:X/V:X/RE:X/U:X</t>
        </is>
      </c>
      <c r="I29" s="2" t="inlineStr">
        <is>
          <t>20261019</t>
        </is>
      </c>
      <c r="J29" s="2" t="inlineStr">
        <is>
          <t>20261020</t>
        </is>
      </c>
      <c r="K29" s="2" t="inlineStr">
        <is>
          <t>N</t>
        </is>
      </c>
      <c r="L29" s="2" t="inlineStr">
        <is>
          <t>Pillow is a Python imaging library. From 9.2.0 until 13.0.0, Pillow can retain a rejected GIF frame size after a decompression-bomb exception. In GifImageFile._seek, a crafted GIF can leave rejected dimensions stored after Image.DecompressionBombError; if an application catches that exception and continues processing the same image object, later seek or load operations allocate according to those dimensions and can exhaust memory, denying service. This issue is fixed in version 13.0.0.</t>
        </is>
      </c>
      <c r="M29" s="2" t="inlineStr">
        <is>
          <t>https://github.com/python-pillow/Pillow/commit/6faed707cfb760a4cbd726ddc8406f576cf35bf7</t>
        </is>
      </c>
      <c r="N29" s="2" t="inlineStr">
        <is>
          <t>NVD+OSV+GHSA</t>
        </is>
      </c>
      <c r="O29" s="2" t="inlineStr">
        <is>
          <t>pypi</t>
        </is>
      </c>
      <c r="P29" s="2" t="inlineStr">
        <is>
          <t>20261025230840</t>
        </is>
      </c>
    </row>
    <row r="30">
      <c r="A30" s="2" t="inlineStr">
        <is>
          <t>CVE-2026-112402</t>
        </is>
      </c>
      <c r="B30" s="2" t="inlineStr">
        <is>
          <t>Pillow</t>
        </is>
      </c>
      <c r="C30" s="2" t="inlineStr">
        <is>
          <t>Python Pillow</t>
        </is>
      </c>
      <c r="D30" s="2" t="inlineStr">
        <is>
          <t>&lt;13.0.0</t>
        </is>
      </c>
      <c r="E30" s="2" t="inlineStr">
        <is>
          <t>13.0.0</t>
        </is>
      </c>
      <c r="F30" s="2" t="inlineStr">
        <is>
          <t>HIGH</t>
        </is>
      </c>
      <c r="G30" s="2" t="inlineStr">
        <is>
          <t>8.7</t>
        </is>
      </c>
      <c r="H30" s="2" t="inlineStr">
        <is>
          <t>CVSS:4.0/AV:N/AC:L/AT:N/PR:N/UI:N/VC:N/VI:N/VA:H/SC:N/SI:N/SA:N/E:X/CR:X/IR:X/AR:X/MAV:X/MAC:X/MAT:X/MPR:X/MUI:X/MVC:X/MVI:X/MVA:X/MSC:X/MSI:X/MSA:X/S:X/AU:X/R:X/V:X/RE:X/U:X</t>
        </is>
      </c>
      <c r="I30" s="2" t="inlineStr">
        <is>
          <t>20261019</t>
        </is>
      </c>
      <c r="J30" s="2" t="inlineStr">
        <is>
          <t>20261021</t>
        </is>
      </c>
      <c r="K30" s="2" t="inlineStr">
        <is>
          <t>N</t>
        </is>
      </c>
      <c r="L30" s="2" t="inlineStr">
        <is>
          <t>Pillow is a Python imaging library. Prior to 13.0.0, Pillow can double free image memory when ImagingScaleAffine encounters a selective allocation failure. The affected fast path handles Transform.EXTENT or pure scale-and-translate Transform.AFFINE operations with the default NEAREST resampling. The output image allocation must succeed while the additional per-column lookup allocation fails, after which the error path deletes image storage that later cleanup releases again. An attacker who can drive such a large Image.transform() operation under memory pressure may trigger the failure. This can crash the process and may corrupt memory. This issue is fixed in version 13.0.0.</t>
        </is>
      </c>
      <c r="M30" s="2" t="inlineStr">
        <is>
          <t>https://github.com/python-pillow/Pillow/commit/aafa6c75f7cdabb9f409a8aac7c780bea31d08d9</t>
        </is>
      </c>
      <c r="N30" s="2" t="inlineStr">
        <is>
          <t>NVD+OSV+GHSA</t>
        </is>
      </c>
      <c r="O30" s="2" t="inlineStr">
        <is>
          <t>pypi</t>
        </is>
      </c>
      <c r="P30" s="2" t="inlineStr">
        <is>
          <t>20261025230840</t>
        </is>
      </c>
    </row>
    <row r="31">
      <c r="A31" s="2" t="inlineStr">
        <is>
          <t>CVE-2026-112405</t>
        </is>
      </c>
      <c r="B31" s="2" t="inlineStr">
        <is>
          <t>Pillow</t>
        </is>
      </c>
      <c r="C31" s="2" t="inlineStr">
        <is>
          <t>Python Pillow</t>
        </is>
      </c>
      <c r="D31" s="2" t="inlineStr">
        <is>
          <t>&gt;=12.0.0,&lt;13.0.0</t>
        </is>
      </c>
      <c r="E31" s="2" t="inlineStr">
        <is>
          <t>13.0.0</t>
        </is>
      </c>
      <c r="F31" s="2" t="inlineStr">
        <is>
          <t>HIGH</t>
        </is>
      </c>
      <c r="G31" s="2" t="inlineStr">
        <is>
          <t>8.7</t>
        </is>
      </c>
      <c r="H31" s="2" t="inlineStr">
        <is>
          <t>CVSS:4.0/AV:N/AC:L/AT:N/PR:N/UI:N/VC:N/VI:N/VA:H/SC:N/SI:N/SA:N/E:X/CR:X/IR:X/AR:X/MAV:X/MAC:X/MAT:X/MPR:X/MUI:X/MVC:X/MVI:X/MVA:X/MSC:X/MSI:X/MSA:X/S:X/AU:X/R:X/V:X/RE:X/U:X</t>
        </is>
      </c>
      <c r="I31" s="2" t="inlineStr">
        <is>
          <t>20261019</t>
        </is>
      </c>
      <c r="J31" s="2" t="inlineStr">
        <is>
          <t>20261021</t>
        </is>
      </c>
      <c r="K31" s="2" t="inlineStr">
        <is>
          <t>N</t>
        </is>
      </c>
      <c r="L31" s="2" t="inlineStr">
        <is>
          <t>Pillow is a Python imaging library. From 12.0.0 until 13.0.0, Pillow's Image.merge() can dereference a null image8 plane. Validation skips the first input band, allowing a 32-bit integer or floating-point image backed by image32 storage to be merged as a narrower multiband image. A crafted IPTC file can reach this path when an application opens and loads it, or a caller can invoke Image.merge() directly with such a first band. This causes a native process crash. This issue is fixed in version 13.0.0.</t>
        </is>
      </c>
      <c r="M31" s="2" t="inlineStr">
        <is>
          <t>https://github.com/python-pillow/Pillow/commit/b6ee66e8b2c2c0932bdf65f963268d9f2927ef86</t>
        </is>
      </c>
      <c r="N31" s="2" t="inlineStr">
        <is>
          <t>NVD+OSV+GHSA</t>
        </is>
      </c>
      <c r="O31" s="2" t="inlineStr">
        <is>
          <t>pypi</t>
        </is>
      </c>
      <c r="P31" s="2" t="inlineStr">
        <is>
          <t>20261025230840</t>
        </is>
      </c>
    </row>
    <row r="32">
      <c r="A32" s="2" t="inlineStr">
        <is>
          <t>CVE-2026-112406</t>
        </is>
      </c>
      <c r="B32" s="2" t="inlineStr">
        <is>
          <t>Pillow</t>
        </is>
      </c>
      <c r="C32" s="2" t="inlineStr">
        <is>
          <t>Python Pillow</t>
        </is>
      </c>
      <c r="D32" s="2" t="inlineStr">
        <is>
          <t>&gt;=5.1.0,&lt;13.0.0</t>
        </is>
      </c>
      <c r="E32" s="2" t="inlineStr">
        <is>
          <t>13.0.0</t>
        </is>
      </c>
      <c r="F32" s="2" t="inlineStr">
        <is>
          <t>HIGH</t>
        </is>
      </c>
      <c r="G32" s="2" t="inlineStr">
        <is>
          <t>8.7</t>
        </is>
      </c>
      <c r="H32" s="2" t="inlineStr">
        <is>
          <t>CVSS:4.0/AV:N/AC:L/AT:N/PR:N/UI:N/VC:N/VI:N/VA:H/SC:N/SI:N/SA:N/E:X/CR:X/IR:X/AR:X/MAV:X/MAC:X/MAT:X/MPR:X/MUI:X/MVC:X/MVI:X/MVA:X/MSC:X/MSI:X/MSA:X/S:X/AU:X/R:X/V:X/RE:X/U:X</t>
        </is>
      </c>
      <c r="I32" s="2" t="inlineStr">
        <is>
          <t>20261019</t>
        </is>
      </c>
      <c r="J32" s="2" t="inlineStr">
        <is>
          <t>20261021</t>
        </is>
      </c>
      <c r="K32" s="2" t="inlineStr">
        <is>
          <t>N</t>
        </is>
      </c>
      <c r="L32" s="2" t="inlineStr">
        <is>
          <t>Pillow is a Python imaging library. From 5.1.0 until 13.0.0, Pillow can enter an infinite loop while rewriting PDF pages. PdfParser.rewrite_pages() follows Parent relationships without detecting a cycle in the page tree. An attacker can supply a cyclic PDF to an application that appends an image to that PDF. This can hold the worker at full CPU and deny service. This issue is fixed in version 13.0.0.</t>
        </is>
      </c>
      <c r="M32" s="2" t="inlineStr">
        <is>
          <t>https://github.com/python-pillow/Pillow/commit/b3ebf20c694f2f12537a629c30229a1d5a53f777</t>
        </is>
      </c>
      <c r="N32" s="2" t="inlineStr">
        <is>
          <t>NVD+OSV+GHSA</t>
        </is>
      </c>
      <c r="O32" s="2" t="inlineStr">
        <is>
          <t>pypi</t>
        </is>
      </c>
      <c r="P32" s="2" t="inlineStr">
        <is>
          <t>20261025230840</t>
        </is>
      </c>
    </row>
    <row r="33">
      <c r="A33" s="2" t="inlineStr">
        <is>
          <t>CVE-2026-112892</t>
        </is>
      </c>
      <c r="B33" s="2" t="inlineStr">
        <is>
          <t>Pillow</t>
        </is>
      </c>
      <c r="C33" s="2" t="inlineStr">
        <is>
          <t>Python Pillow</t>
        </is>
      </c>
      <c r="D33" s="2" t="inlineStr">
        <is>
          <t>&gt;=4.1.0,&lt;13.0.0</t>
        </is>
      </c>
      <c r="E33" s="2" t="inlineStr">
        <is>
          <t>13.0.0</t>
        </is>
      </c>
      <c r="F33" s="2" t="inlineStr">
        <is>
          <t>HIGH</t>
        </is>
      </c>
      <c r="G33" s="2" t="inlineStr">
        <is>
          <t>8.7</t>
        </is>
      </c>
      <c r="H33" s="2" t="inlineStr">
        <is>
          <t>CVSS:4.0/AV:N/AC:L/AT:N/PR:N/UI:N/VC:N/VI:N/VA:H/SC:N/SI:N/SA:N/E:X/CR:X/IR:X/AR:X/MAV:X/MAC:X/MAT:X/MPR:X/MUI:X/MVC:X/MVI:X/MVA:X/MSC:X/MSI:X/MSA:X/S:X/AU:X/R:X/V:X/RE:X/U:X</t>
        </is>
      </c>
      <c r="I33" s="2" t="inlineStr">
        <is>
          <t>20261019</t>
        </is>
      </c>
      <c r="J33" s="2" t="inlineStr">
        <is>
          <t>20261022</t>
        </is>
      </c>
      <c r="K33" s="2" t="inlineStr">
        <is>
          <t>N</t>
        </is>
      </c>
      <c r="L33" s="2" t="inlineStr">
        <is>
          <t>Pillow is a Python imaging library. From 4.1.0 until 13.0.0, Pillow's MSP RLE decoder can expand a small file into an unbounded in-memory buffer. The decoder writes run-length output to BytesIO without limiting expansion to the declared image size. An attacker can supply a crafted MSP image to an application that loads its pixels. This can exhaust memory and deny service even when the declared pixel count passes the decompression-bomb check. This issue is fixed in version 13.0.0.</t>
        </is>
      </c>
      <c r="M33" s="2" t="inlineStr">
        <is>
          <t>https://github.com/python-pillow/Pillow/commit/5dcb630b9798efd91929cb873d677aeee6ed0bb3</t>
        </is>
      </c>
      <c r="N33" s="2" t="inlineStr">
        <is>
          <t>NVD+OSV+GHSA</t>
        </is>
      </c>
      <c r="O33" s="2" t="inlineStr">
        <is>
          <t>pypi</t>
        </is>
      </c>
      <c r="P33" s="2" t="inlineStr">
        <is>
          <t>20261025230840</t>
        </is>
      </c>
    </row>
    <row r="34">
      <c r="A34" s="2" t="inlineStr">
        <is>
          <t>CVE-2026-112894</t>
        </is>
      </c>
      <c r="B34" s="2" t="inlineStr">
        <is>
          <t>Pillow</t>
        </is>
      </c>
      <c r="C34" s="2" t="inlineStr">
        <is>
          <t>Python Pillow</t>
        </is>
      </c>
      <c r="D34" s="2" t="inlineStr">
        <is>
          <t>&gt;=5.1.0,&lt;13.0.0</t>
        </is>
      </c>
      <c r="E34" s="2" t="inlineStr">
        <is>
          <t>13.0.0</t>
        </is>
      </c>
      <c r="F34" s="2" t="inlineStr">
        <is>
          <t>HIGH</t>
        </is>
      </c>
      <c r="G34" s="2" t="inlineStr">
        <is>
          <t>8.7</t>
        </is>
      </c>
      <c r="H34" s="2" t="inlineStr">
        <is>
          <t>CVSS:4.0/AV:N/AC:L/AT:N/PR:N/UI:N/VC:N/VI:N/VA:H/SC:N/SI:N/SA:N/E:X/CR:X/IR:X/AR:X/MAV:X/MAC:X/MAT:X/MPR:X/MUI:X/MVC:X/MVI:X/MVA:X/MSC:X/MSI:X/MSA:X/S:X/AU:X/R:X/V:X/RE:X/U:X</t>
        </is>
      </c>
      <c r="I34" s="2" t="inlineStr">
        <is>
          <t>20261019</t>
        </is>
      </c>
      <c r="J34" s="2" t="inlineStr">
        <is>
          <t>20261021</t>
        </is>
      </c>
      <c r="K34" s="2" t="inlineStr">
        <is>
          <t>N</t>
        </is>
      </c>
      <c r="L34" s="2" t="inlineStr">
        <is>
          <t>Pillow is a Python imaging library. From 5.1.0 until 13.0.0, Pillow takes quadratic time to reserve PDF object identifiers when saving many frames with save_all enabled. PdfParser.next_object_id() repeatedly rebuilds and scans all previously reserved identifiers for every object. An attacker can supply a multi-frame image, including a small APNG with a large declared frame count, to an application that converts it to a multipage PDF. This can consume excessive CPU and deny service. This issue is fixed in version 13.0.0.</t>
        </is>
      </c>
      <c r="M34" s="2" t="inlineStr">
        <is>
          <t>https://github.com/python-pillow/Pillow/commit/f6a852555f1a1bdff7781abf25f1a3b8bd6ce6cb</t>
        </is>
      </c>
      <c r="N34" s="2" t="inlineStr">
        <is>
          <t>NVD+OSV+GHSA</t>
        </is>
      </c>
      <c r="O34" s="2" t="inlineStr">
        <is>
          <t>pypi</t>
        </is>
      </c>
      <c r="P34" s="2" t="inlineStr">
        <is>
          <t>20261025230840</t>
        </is>
      </c>
    </row>
    <row r="35">
      <c r="A35" s="2" t="inlineStr">
        <is>
          <t>CVE-2026-112895</t>
        </is>
      </c>
      <c r="B35" s="2" t="inlineStr">
        <is>
          <t>Pillow</t>
        </is>
      </c>
      <c r="C35" s="2" t="inlineStr">
        <is>
          <t>Python Pillow</t>
        </is>
      </c>
      <c r="D35" s="2" t="inlineStr">
        <is>
          <t>&gt;=5.1.0,&lt;13.0.0</t>
        </is>
      </c>
      <c r="E35" s="2" t="inlineStr">
        <is>
          <t>13.0.0</t>
        </is>
      </c>
      <c r="F35" s="2" t="inlineStr">
        <is>
          <t>HIGH</t>
        </is>
      </c>
      <c r="G35" s="2" t="inlineStr">
        <is>
          <t>8.7</t>
        </is>
      </c>
      <c r="H35" s="2" t="inlineStr">
        <is>
          <t>CVSS:4.0/AV:N/AC:L/AT:N/PR:N/UI:N/VC:N/VI:N/VA:H/SC:N/SI:N/SA:N/E:X/CR:X/IR:X/AR:X/MAV:X/MAC:X/MAT:X/MPR:X/MUI:X/MVC:X/MVI:X/MVA:X/MSC:X/MSI:X/MSA:X/S:X/AU:X/R:X/V:X/RE:X/U:X</t>
        </is>
      </c>
      <c r="I35" s="2" t="inlineStr">
        <is>
          <t>20261019</t>
        </is>
      </c>
      <c r="J35" s="2" t="inlineStr">
        <is>
          <t>20261020</t>
        </is>
      </c>
      <c r="K35" s="2" t="inlineStr">
        <is>
          <t>N</t>
        </is>
      </c>
      <c r="L35" s="2" t="inlineStr">
        <is>
          <t>Pillow is a Python imaging library. From 5.1.0 until 13.0.0, Pillow can exhaust resources while parsing an existing PDF during an append operation. PdfParser follows page-tree child references without cycle or duplication tracking and follows previous-trailer chains with only an exact repeated-offset guard, so deep or cyclic page trees and long chains of unique trailer offsets can exhaust the Python stack. Repeated non-cyclic /Kids references can also cause super-linear CPU and memory use. An attacker can supply such a PDF to an application that calls Image.save with PDF append enabled. This can raise an uncaught RecursionError or consume excessive CPU and memory before output is written, causing denial of service. This issue is fixed in version 13.0.0.</t>
        </is>
      </c>
      <c r="M35" s="2" t="inlineStr">
        <is>
          <t>https://github.com/python-pillow/Pillow/commit/e2ae7eacad6de68c37eb28b633a97bebacf2c5bf</t>
        </is>
      </c>
      <c r="N35" s="2" t="inlineStr">
        <is>
          <t>NVD+OSV+GHSA</t>
        </is>
      </c>
      <c r="O35" s="2" t="inlineStr">
        <is>
          <t>pypi</t>
        </is>
      </c>
      <c r="P35" s="2" t="inlineStr">
        <is>
          <t>20261025230840</t>
        </is>
      </c>
    </row>
    <row r="36">
      <c r="A36" s="2" t="inlineStr">
        <is>
          <t>CVE-2026-112897</t>
        </is>
      </c>
      <c r="B36" s="2" t="inlineStr">
        <is>
          <t>Pillow</t>
        </is>
      </c>
      <c r="C36" s="2" t="inlineStr">
        <is>
          <t>Python Pillow</t>
        </is>
      </c>
      <c r="D36" s="2" t="inlineStr">
        <is>
          <t>&gt;=5.3.0,&lt;13.0.0</t>
        </is>
      </c>
      <c r="E36" s="2" t="inlineStr">
        <is>
          <t>13.0.0</t>
        </is>
      </c>
      <c r="F36" s="2" t="inlineStr">
        <is>
          <t>HIGH</t>
        </is>
      </c>
      <c r="G36" s="2" t="inlineStr">
        <is>
          <t>8.7</t>
        </is>
      </c>
      <c r="H36" s="2" t="inlineStr">
        <is>
          <t>CVSS:4.0/AV:N/AC:L/AT:N/PR:N/UI:N/VC:H/VI:N/VA:N/SC:N/SI:N/SA:N/E:X/CR:X/IR:X/AR:X/MAV:X/MAC:X/MAT:X/MPR:X/MUI:X/MVC:X/MVI:X/MVA:X/MSC:X/MSI:X/MSA:X/S:X/AU:X/R:X/V:X/RE:X/U:X</t>
        </is>
      </c>
      <c r="I36" s="2" t="inlineStr">
        <is>
          <t>20261019</t>
        </is>
      </c>
      <c r="J36" s="2" t="inlineStr">
        <is>
          <t>20261022</t>
        </is>
      </c>
      <c r="K36" s="2" t="inlineStr">
        <is>
          <t>N</t>
        </is>
      </c>
      <c r="L36" s="2" t="inlineStr">
        <is>
          <t>Pillow is a Python imaging library. From 5.3.0 until 13.0.0, Pillow can return uninitialized memory as pixels when libtiff performs a short decode of JPEG-compressed or Group 4 fax TIFF data. The _decodeStrip and _decodeTile buffers can be larger than the bytes written by libtiff, but Pillow converts the expected rows without clearing the unwritten tail. The tile path is affected from 5.3.0 and the strip path from 6.0.0. An attacker can supply a crafted TIFF to an application that loads and returns or re-encodes its pixels. This can disclose stale heap contents without memory corruption or a process crash. This issue is fixed in version 13.0.0.</t>
        </is>
      </c>
      <c r="M36" s="2" t="inlineStr">
        <is>
          <t>https://github.com/python-pillow/Pillow/commit/1d4773e6cea0c4a2814e6d4cdc099bbcf56da6ce</t>
        </is>
      </c>
      <c r="N36" s="2" t="inlineStr">
        <is>
          <t>NVD+OSV+GHSA</t>
        </is>
      </c>
      <c r="O36" s="2" t="inlineStr">
        <is>
          <t>pypi</t>
        </is>
      </c>
      <c r="P36" s="2" t="inlineStr">
        <is>
          <t>20261025230840</t>
        </is>
      </c>
    </row>
    <row r="37">
      <c r="A37" s="2" t="inlineStr">
        <is>
          <t>CVE-2026-114493</t>
        </is>
      </c>
      <c r="B37" s="2" t="inlineStr">
        <is>
          <t>LocalAI</t>
        </is>
      </c>
      <c r="C37" s="2" t="inlineStr">
        <is>
          <t>LocalAI</t>
        </is>
      </c>
      <c r="D37" s="2" t="inlineStr">
        <is>
          <t>&gt;=4.6.0,&lt;=4.11.0</t>
        </is>
      </c>
      <c r="E37" s="2" t="inlineStr"/>
      <c r="F37" s="2" t="inlineStr">
        <is>
          <t>HIGH</t>
        </is>
      </c>
      <c r="G37" s="2" t="inlineStr">
        <is>
          <t>8.6</t>
        </is>
      </c>
      <c r="H37" s="2" t="inlineStr">
        <is>
          <t>CVSS:3.1/AV:N/AC:L/PR:N/UI:N/S:C/C:H/I:N/A:N</t>
        </is>
      </c>
      <c r="I37" s="2" t="inlineStr">
        <is>
          <t>20261021</t>
        </is>
      </c>
      <c r="J37" s="2" t="inlineStr">
        <is>
          <t>20261022</t>
        </is>
      </c>
      <c r="K37" s="2" t="inlineStr">
        <is>
          <t>N</t>
        </is>
      </c>
      <c r="L37" s="2" t="inlineStr">
        <is>
          <t>LocalAI v4.6.0 through v4.11.0 contains a server-side request forgery vulnerability in core/gallery/gallery.go that validates only the initial gallery config URL. Attackers can submit a config URL through POST /models/apply that redirects to internal or cloud metadata addresses, receiving those internal responses as gallery content.</t>
        </is>
      </c>
      <c r="M37" s="2" t="inlineStr">
        <is>
          <t>https://github.com/mudler/LocalAI/blob/v4.11.0/core/gallery/gallery.go#L26-L57</t>
        </is>
      </c>
      <c r="N37" s="2" t="inlineStr">
        <is>
          <t>NVD</t>
        </is>
      </c>
      <c r="O37" s="2" t="inlineStr">
        <is>
          <t>github</t>
        </is>
      </c>
      <c r="P37" s="2" t="inlineStr">
        <is>
          <t>20261025230753</t>
        </is>
      </c>
    </row>
    <row r="38">
      <c r="A38" s="2" t="inlineStr">
        <is>
          <t>CVE-2026-59707</t>
        </is>
      </c>
      <c r="B38" s="2" t="inlineStr">
        <is>
          <t>LocalAI</t>
        </is>
      </c>
      <c r="C38" s="2" t="inlineStr">
        <is>
          <t>LocalAI</t>
        </is>
      </c>
      <c r="D38" s="2" t="inlineStr">
        <is>
          <t>*</t>
        </is>
      </c>
      <c r="E38" s="2" t="inlineStr"/>
      <c r="F38" s="2" t="inlineStr">
        <is>
          <t>HIGH</t>
        </is>
      </c>
      <c r="G38" s="2" t="inlineStr">
        <is>
          <t>8.6</t>
        </is>
      </c>
      <c r="H38" s="2" t="inlineStr">
        <is>
          <t>CVSS:3.1/AV:N/AC:L/PR:N/UI:N/S:C/C:H/I:N/A:N</t>
        </is>
      </c>
      <c r="I38" s="2" t="inlineStr">
        <is>
          <t>20260707</t>
        </is>
      </c>
      <c r="J38" s="2" t="inlineStr">
        <is>
          <t>20261025</t>
        </is>
      </c>
      <c r="K38" s="2" t="inlineStr">
        <is>
          <t>N</t>
        </is>
      </c>
      <c r="L38" s="2" t="inlineStr">
        <is>
          <t>[버전범위 불명확] LocalAI contains an unauthenticated server-side request forgery vulnerability in the POST /models/apply endpoint that allows attackers to fetch arbitrary internal URLs. The endpoint passes unsanitized gallery URL fields directly to gallery.GetGalleryConfigFromURLWithContext without proper validation, enabling attackers to force the server to issue HTTP GET requests to private and loopback ranges with partial response content leaked through error messages.</t>
        </is>
      </c>
      <c r="M38" s="2" t="inlineStr">
        <is>
          <t>https://github.com/mudler/LocalAI</t>
        </is>
      </c>
      <c r="N38" s="2" t="inlineStr">
        <is>
          <t>NVD</t>
        </is>
      </c>
      <c r="O38" s="2" t="inlineStr">
        <is>
          <t>github</t>
        </is>
      </c>
      <c r="P38" s="2" t="inlineStr">
        <is>
          <t>20261025230753</t>
        </is>
      </c>
    </row>
    <row r="39">
      <c r="A39" s="2" t="inlineStr">
        <is>
          <t>CVE-2025-65106</t>
        </is>
      </c>
      <c r="B39" s="2" t="inlineStr">
        <is>
          <t>LangChain</t>
        </is>
      </c>
      <c r="C39" s="2" t="inlineStr">
        <is>
          <t>LangChain</t>
        </is>
      </c>
      <c r="D39" s="2" t="inlineStr">
        <is>
          <t>&lt;=1.0.0</t>
        </is>
      </c>
      <c r="E39" s="2" t="inlineStr">
        <is>
          <t>0.3.80</t>
        </is>
      </c>
      <c r="F39" s="2" t="inlineStr">
        <is>
          <t>HIGH</t>
        </is>
      </c>
      <c r="G39" s="2" t="inlineStr">
        <is>
          <t>8.3</t>
        </is>
      </c>
      <c r="H39" s="2" t="inlineStr">
        <is>
          <t>CVSS:4.0/AV:N/AC:L/AT:P/PR:N/UI:N/VC:H/VI:L/VA:N/SC:N/SI:N/SA:N/E:X/CR:X/IR:X/AR:X/MAV:X/MAC:X/MAT:X/MPR:X/MUI:X/MVC:X/MVI:X/MVA:X/MSC:X/MSI:X/MSA:X/S:X/AU:X/R:X/V:X/RE:X/U:X</t>
        </is>
      </c>
      <c r="I39" s="2" t="inlineStr">
        <is>
          <t>20251121</t>
        </is>
      </c>
      <c r="J39" s="2" t="inlineStr">
        <is>
          <t>20261019</t>
        </is>
      </c>
      <c r="K39" s="2" t="inlineStr">
        <is>
          <t>N</t>
        </is>
      </c>
      <c r="L39" s="2" t="inlineStr">
        <is>
          <t>LangChain is a framework for building agents and LLM-powered applications. From versions 0.3.79 and prior and 1.0.0 to 1.0.6, a template injection vulnerability exists in LangChain's prompt template system that allows attackers to access Python object internals through template syntax. This vulnerability affects applications that accept untrusted template strings (not just template variables) in ChatPromptTemplate and related prompt template classes. This issue has been patched in versions 0.3.80 and 1.0.7.</t>
        </is>
      </c>
      <c r="M39" s="2" t="inlineStr">
        <is>
          <t>https://github.com/langchain-ai/langchain/commit/c4b6ba254e1a49ed91f2e268e6484011c540542a</t>
        </is>
      </c>
      <c r="N39" s="2" t="inlineStr">
        <is>
          <t>NVD</t>
        </is>
      </c>
      <c r="O39" s="2" t="inlineStr">
        <is>
          <t>pypi</t>
        </is>
      </c>
      <c r="P39" s="2" t="inlineStr">
        <is>
          <t>20261025230753</t>
        </is>
      </c>
    </row>
    <row r="40">
      <c r="A40" s="2" t="inlineStr">
        <is>
          <t>CVE-2026-53995</t>
        </is>
      </c>
      <c r="B40" s="2" t="inlineStr">
        <is>
          <t>MLflow</t>
        </is>
      </c>
      <c r="C40" s="2" t="inlineStr">
        <is>
          <t>Databricks</t>
        </is>
      </c>
      <c r="D40" s="2" t="inlineStr">
        <is>
          <t>&lt;3.17.2</t>
        </is>
      </c>
      <c r="E40" s="2" t="inlineStr">
        <is>
          <t>3.17.2</t>
        </is>
      </c>
      <c r="F40" s="2" t="inlineStr">
        <is>
          <t>HIGH</t>
        </is>
      </c>
      <c r="G40" s="2" t="inlineStr">
        <is>
          <t>8.2</t>
        </is>
      </c>
      <c r="H40" s="2" t="inlineStr">
        <is>
          <t>CVSS:3.1/AV:N/AC:L/PR:N/UI:N/S:U/C:N/I:H/A:L</t>
        </is>
      </c>
      <c r="I40" s="2" t="inlineStr">
        <is>
          <t>20261019</t>
        </is>
      </c>
      <c r="J40" s="2" t="inlineStr">
        <is>
          <t>20261023</t>
        </is>
      </c>
      <c r="K40" s="2" t="inlineStr">
        <is>
          <t>N</t>
        </is>
      </c>
      <c r="L40" s="2" t="inlineStr">
        <is>
          <t>MLflow 3.17.1 and earlier contains a path traversal vulnerability in the FileStore tracking backend that allows unauthenticated attackers to control filesystem paths by submitting a crafted trace ID containing traversal sequences to the POST /api/3.0/mlflow/traces endpoint. Attackers can exploit FileStore.start_trace() to write trace_info.yaml, request_metadata, and tag files with attacker-controlled metadata outside the intended experiment trace directory, subject to the server process's filesystem permissions. FileStore is the default tracking backend before MLflow 3.7.0 and opt-in thereafter (the default changed to a SQLite database), so deployments in the earlier part of the affected range are vulnerable without special configuration while later ones are affected only when FileStore is explicitly selected.</t>
        </is>
      </c>
      <c r="M40" s="2" t="inlineStr">
        <is>
          <t>https://github.com/SaiTeja-Erukude/CVE-2026-53995-mlflow-path-traversal</t>
        </is>
      </c>
      <c r="N40" s="2" t="inlineStr">
        <is>
          <t>NVD+OSV+GHSA</t>
        </is>
      </c>
      <c r="O40" s="2" t="inlineStr">
        <is>
          <t>pypi</t>
        </is>
      </c>
      <c r="P40" s="2" t="inlineStr">
        <is>
          <t>20261025230840</t>
        </is>
      </c>
    </row>
    <row r="41">
      <c r="A41" s="2" t="inlineStr">
        <is>
          <t>CVE-2026-112392</t>
        </is>
      </c>
      <c r="B41" s="2" t="inlineStr">
        <is>
          <t>Pillow</t>
        </is>
      </c>
      <c r="C41" s="2" t="inlineStr">
        <is>
          <t>Python Pillow</t>
        </is>
      </c>
      <c r="D41" s="2" t="inlineStr">
        <is>
          <t>&lt;13.0.0</t>
        </is>
      </c>
      <c r="E41" s="2" t="inlineStr">
        <is>
          <t>13.0.0</t>
        </is>
      </c>
      <c r="F41" s="2" t="inlineStr">
        <is>
          <t>HIGH</t>
        </is>
      </c>
      <c r="G41" s="2" t="inlineStr">
        <is>
          <t>8.2</t>
        </is>
      </c>
      <c r="H41" s="2" t="inlineStr">
        <is>
          <t>CVSS:4.0/AV:N/AC:L/AT:P/PR:N/UI:N/VC:N/VI:N/VA:H/SC:N/SI:N/SA:N/E:X/CR:X/IR:X/AR:X/MAV:X/MAC:X/MAT:X/MPR:X/MUI:X/MVC:X/MVI:X/MVA:X/MSC:X/MSI:X/MSA:X/S:X/AU:X/R:X/V:X/RE:X/U:X</t>
        </is>
      </c>
      <c r="I41" s="2" t="inlineStr">
        <is>
          <t>20261019</t>
        </is>
      </c>
      <c r="J41" s="2" t="inlineStr">
        <is>
          <t>20261021</t>
        </is>
      </c>
      <c r="K41" s="2" t="inlineStr">
        <is>
          <t>N</t>
        </is>
      </c>
      <c r="L41" s="2" t="inlineStr">
        <is>
          <t>Pillow is a Python imaging library. Prior to 13.0.0, Pillow's rank-based filters can dereference invalid image storage for a zero-size image. ImagingExpand() allocates a non-empty output and then faults while replicating edges by reading the first pixel from empty input storage; ImagingRankFilter is never reached. An attacker can supply or cause creation of a zero-size image to an application that applies a rank, median, minimum, or maximum filter. This causes a native process crash. This issue is fixed in version 13.0.0.</t>
        </is>
      </c>
      <c r="M41" s="2" t="inlineStr">
        <is>
          <t>https://github.com/python-pillow/Pillow/commit/443e3130a8c11594fd0e296afad497e11e678961</t>
        </is>
      </c>
      <c r="N41" s="2" t="inlineStr">
        <is>
          <t>NVD+OSV+GHSA</t>
        </is>
      </c>
      <c r="O41" s="2" t="inlineStr">
        <is>
          <t>pypi</t>
        </is>
      </c>
      <c r="P41" s="2" t="inlineStr">
        <is>
          <t>20261025230840</t>
        </is>
      </c>
    </row>
    <row r="42">
      <c r="A42" s="2" t="inlineStr">
        <is>
          <t>CVE-2026-112893</t>
        </is>
      </c>
      <c r="B42" s="2" t="inlineStr">
        <is>
          <t>Pillow</t>
        </is>
      </c>
      <c r="C42" s="2" t="inlineStr">
        <is>
          <t>Python Pillow</t>
        </is>
      </c>
      <c r="D42" s="2" t="inlineStr">
        <is>
          <t>&gt;=10.0.0,&lt;13.0.0</t>
        </is>
      </c>
      <c r="E42" s="2" t="inlineStr">
        <is>
          <t>13.0.0</t>
        </is>
      </c>
      <c r="F42" s="2" t="inlineStr">
        <is>
          <t>HIGH</t>
        </is>
      </c>
      <c r="G42" s="2" t="inlineStr">
        <is>
          <t>8.2</t>
        </is>
      </c>
      <c r="H42" s="2" t="inlineStr">
        <is>
          <t>CVSS:4.0/AV:N/AC:L/AT:P/PR:N/UI:N/VC:N/VI:N/VA:H/SC:N/SI:N/SA:N/E:X/CR:X/IR:X/AR:X/MAV:X/MAC:X/MAT:X/MPR:X/MUI:X/MVC:X/MVI:X/MVA:X/MSC:X/MSI:X/MSA:X/S:X/AU:X/R:X/V:X/RE:X/U:X</t>
        </is>
      </c>
      <c r="I42" s="2" t="inlineStr">
        <is>
          <t>20261019</t>
        </is>
      </c>
      <c r="J42" s="2" t="inlineStr">
        <is>
          <t>20261021</t>
        </is>
      </c>
      <c r="K42" s="2" t="inlineStr">
        <is>
          <t>N</t>
        </is>
      </c>
      <c r="L42" s="2" t="inlineStr">
        <is>
          <t>Pillow is a Python imaging library. From 10.0.0 until 13.0.0, Pillow can free an invalid glyph pointer during FreeType rendering with an active stroker. If FT_Load_Glyph fails, cleanup may call FT_Done_Glyph on an uninitialized or stale glyph variable. An attacker can supply a malformed font as untrusted bytes to an application that draws text with a nonzero stroke width, forcing the glyph-load failure path. This can corrupt memory or crash the process. This issue is fixed in version 13.0.0.</t>
        </is>
      </c>
      <c r="M42" s="2" t="inlineStr">
        <is>
          <t>https://github.com/python-pillow/Pillow/commit/a7416de7f3a43128179d2cf68df3240ea8dafe13</t>
        </is>
      </c>
      <c r="N42" s="2" t="inlineStr">
        <is>
          <t>NVD+OSV+GHSA</t>
        </is>
      </c>
      <c r="O42" s="2" t="inlineStr">
        <is>
          <t>pypi</t>
        </is>
      </c>
      <c r="P42" s="2" t="inlineStr">
        <is>
          <t>20261025230840</t>
        </is>
      </c>
    </row>
    <row r="43">
      <c r="A43" s="2" t="inlineStr">
        <is>
          <t>CVE-2026-59197</t>
        </is>
      </c>
      <c r="B43" s="2" t="inlineStr">
        <is>
          <t>Pillow</t>
        </is>
      </c>
      <c r="C43" s="2" t="inlineStr">
        <is>
          <t>python</t>
        </is>
      </c>
      <c r="D43" s="2" t="inlineStr">
        <is>
          <t>&lt;12.3.0</t>
        </is>
      </c>
      <c r="E43" s="2" t="inlineStr">
        <is>
          <t>12.3.0</t>
        </is>
      </c>
      <c r="F43" s="2" t="inlineStr">
        <is>
          <t>HIGH</t>
        </is>
      </c>
      <c r="G43" s="2" t="inlineStr">
        <is>
          <t>8.2</t>
        </is>
      </c>
      <c r="H43" s="2" t="inlineStr">
        <is>
          <t>CVSS:3.1/AV:N/AC:L/PR:N/UI:N/S:U/C:N/I:L/A:H</t>
        </is>
      </c>
      <c r="I43" s="2" t="inlineStr">
        <is>
          <t>20260714</t>
        </is>
      </c>
      <c r="J43" s="2" t="inlineStr">
        <is>
          <t>20261024</t>
        </is>
      </c>
      <c r="K43" s="2" t="inlineStr">
        <is>
          <t>N</t>
        </is>
      </c>
      <c r="L43" s="2" t="inlineStr">
        <is>
          <t>Pillow is a Python imaging library. Prior to 12.3.0, Pillow's public rank-filter API can trigger a native heap out-of-bounds write when given a very large odd filter size because ImageFilter.RankFilter.filter() calls image.expand(size // 2, size // 2) before rank-filter size validation and ImagingExpand() computes output dimensions with unchecked signed int arithmetic. This issue is fixed in version 12.3.0.</t>
        </is>
      </c>
      <c r="M43" s="2" t="inlineStr">
        <is>
          <t>https://github.com/python-pillow/Pillow/commit/cce3bdb867c77a3420261ed1bfdb6b0787ec8fc1</t>
        </is>
      </c>
      <c r="N43" s="2" t="inlineStr">
        <is>
          <t>NVD</t>
        </is>
      </c>
      <c r="O43" s="2" t="inlineStr">
        <is>
          <t>pypi</t>
        </is>
      </c>
      <c r="P43" s="2" t="inlineStr">
        <is>
          <t>20261025230753</t>
        </is>
      </c>
    </row>
    <row r="44">
      <c r="A44" s="2" t="inlineStr">
        <is>
          <t>CVE-2026-96640</t>
        </is>
      </c>
      <c r="B44" s="2" t="inlineStr">
        <is>
          <t>Pillow</t>
        </is>
      </c>
      <c r="C44" s="2" t="inlineStr">
        <is>
          <t>Python Pillow</t>
        </is>
      </c>
      <c r="D44" s="2" t="inlineStr">
        <is>
          <t>&gt;=5.1.0,&lt;13.0.0</t>
        </is>
      </c>
      <c r="E44" s="2" t="inlineStr">
        <is>
          <t>13.0.0</t>
        </is>
      </c>
      <c r="F44" s="2" t="inlineStr">
        <is>
          <t>HIGH</t>
        </is>
      </c>
      <c r="G44" s="2" t="inlineStr">
        <is>
          <t>8.2</t>
        </is>
      </c>
      <c r="H44" s="2" t="inlineStr">
        <is>
          <t>CVSS:4.0/AV:N/AC:L/AT:P/PR:N/UI:N/VC:N/VI:N/VA:H/SC:N/SI:N/SA:N/E:X/CR:X/IR:X/AR:X/MAV:X/MAC:X/MAT:X/MPR:X/MUI:X/MVC:X/MVI:X/MVA:X/MSC:X/MSI:X/MSA:X/S:X/AU:X/R:X/V:X/RE:X/U:X</t>
        </is>
      </c>
      <c r="I44" s="2" t="inlineStr">
        <is>
          <t>20261021</t>
        </is>
      </c>
      <c r="J44" s="2" t="inlineStr">
        <is>
          <t>20261022</t>
        </is>
      </c>
      <c r="K44" s="2" t="inlineStr">
        <is>
          <t>N</t>
        </is>
      </c>
      <c r="L44" s="2" t="inlineStr">
        <is>
          <t>Pillow is a Python imaging library. From 5.1.0 until 13.0.0, PdfParser.linearize_page_tree() in src/PIL/PdfParser.py treats a PDF /Pages graph as a tree without tracking duplicate indirect references. When Image.save(..., format="PDF", append=True) processes an attacker-controlled existing PDF whose /Kids arrays repeatedly reference the same child /Pages node, Pillow expands the shared subtree as distinct pages. A compact malformed PDF can therefore create exponentially many page references and consume disproportionate CPU before the append completes. This issue is fixed in version 13.0.0.</t>
        </is>
      </c>
      <c r="M44" s="2" t="inlineStr">
        <is>
          <t>https://github.com/python-pillow/Pillow/commit/6f0e7ee1f9c2fe227906f8a4b926e6622b702bc7</t>
        </is>
      </c>
      <c r="N44" s="2" t="inlineStr">
        <is>
          <t>NVD+OSV+GHSA</t>
        </is>
      </c>
      <c r="O44" s="2" t="inlineStr">
        <is>
          <t>pypi</t>
        </is>
      </c>
      <c r="P44" s="2" t="inlineStr">
        <is>
          <t>20261025230840</t>
        </is>
      </c>
    </row>
    <row r="45">
      <c r="A45" s="2" t="inlineStr">
        <is>
          <t>CVE-2026-116176</t>
        </is>
      </c>
      <c r="B45" s="2" t="inlineStr">
        <is>
          <t>vLLM</t>
        </is>
      </c>
      <c r="C45" s="2" t="inlineStr">
        <is>
          <t>vLLM Project</t>
        </is>
      </c>
      <c r="D45" s="2" t="inlineStr">
        <is>
          <t>&lt;0.24.0</t>
        </is>
      </c>
      <c r="E45" s="2" t="inlineStr"/>
      <c r="F45" s="2" t="inlineStr">
        <is>
          <t>HIGH</t>
        </is>
      </c>
      <c r="G45" s="2" t="inlineStr">
        <is>
          <t>8.2</t>
        </is>
      </c>
      <c r="H45" s="2" t="inlineStr">
        <is>
          <t>CVSS:3.1/AV:N/AC:L/PR:N/UI:N/S:U/C:H/I:N/A:L</t>
        </is>
      </c>
      <c r="I45" s="2" t="inlineStr">
        <is>
          <t>20261025</t>
        </is>
      </c>
      <c r="J45" s="2" t="inlineStr">
        <is>
          <t>20261025</t>
        </is>
      </c>
      <c r="K45" s="2" t="inlineStr">
        <is>
          <t>N</t>
        </is>
      </c>
      <c r="L45" s="2" t="inlineStr">
        <is>
          <t>vLLM from 0.9.2 before 0.24.0 contains a server-side request forgery vulnerability that allows API callers to force outbound connections by embedding a decode address in the X-Request-Id header. Attackers can make a P2pNcclConnector prefill worker ZMQ-connect to an attacker host, leaking the NCCL unique_id and KV-cache tensors or blocking the worker.</t>
        </is>
      </c>
      <c r="M45" s="2" t="inlineStr">
        <is>
          <t>https://github.com/vllm-project/vllm/security/advisories/GHSA-vfp2-c8pq-v6h6</t>
        </is>
      </c>
      <c r="N45" s="2" t="inlineStr">
        <is>
          <t>NVD</t>
        </is>
      </c>
      <c r="O45" s="2" t="inlineStr">
        <is>
          <t>pypi</t>
        </is>
      </c>
      <c r="P45" s="2" t="inlineStr">
        <is>
          <t>20261025230753</t>
        </is>
      </c>
    </row>
    <row r="46">
      <c r="A46" s="2" t="inlineStr">
        <is>
          <t>CVE-2026-8147</t>
        </is>
      </c>
      <c r="B46" s="2" t="inlineStr">
        <is>
          <t>MLflow</t>
        </is>
      </c>
      <c r="C46" s="2" t="inlineStr">
        <is>
          <t>lfprojects</t>
        </is>
      </c>
      <c r="D46" s="2" t="inlineStr">
        <is>
          <t>&lt;3.14.0</t>
        </is>
      </c>
      <c r="E46" s="2" t="inlineStr">
        <is>
          <t>3.14.0</t>
        </is>
      </c>
      <c r="F46" s="2" t="inlineStr">
        <is>
          <t>HIGH</t>
        </is>
      </c>
      <c r="G46" s="2" t="inlineStr">
        <is>
          <t>8.1</t>
        </is>
      </c>
      <c r="H46" s="2" t="inlineStr">
        <is>
          <t>CVSS:3.0/AV:N/AC:L/PR:L/UI:N/S:U/C:H/I:H/A:N</t>
        </is>
      </c>
      <c r="I46" s="2" t="inlineStr">
        <is>
          <t>20260702</t>
        </is>
      </c>
      <c r="J46" s="2" t="inlineStr">
        <is>
          <t>20261025</t>
        </is>
      </c>
      <c r="K46" s="2" t="inlineStr">
        <is>
          <t>N</t>
        </is>
      </c>
      <c r="L46" s="2" t="inlineStr">
        <is>
          <t>In MLflow versions prior to 3.14.0, when running with authentication enabled, the trace API endpoints lack proper authorization validators. This allows any authenticated user to bypass experiment-level authorization controls on all trace operations, including reading, deleting, and modifying traces on experiments they do not have permission to access. The issue arises from the `_before_request` handler, which does not register authorization validators for trace endpoints, resulting in requests proceeding without validation. This vulnerability can expose sensitive data, destroy audit logs, and allow unauthorized modifications.</t>
        </is>
      </c>
      <c r="M46" s="2" t="inlineStr">
        <is>
          <t>https://github.com/mlflow/mlflow/commit/f9b1eb510478570609ef451984a255775aa4b937</t>
        </is>
      </c>
      <c r="N46" s="2" t="inlineStr">
        <is>
          <t>NVD</t>
        </is>
      </c>
      <c r="O46" s="2" t="inlineStr">
        <is>
          <t>pypi</t>
        </is>
      </c>
      <c r="P46" s="2" t="inlineStr">
        <is>
          <t>20261025230753</t>
        </is>
      </c>
    </row>
    <row r="47">
      <c r="A47" s="2" t="inlineStr">
        <is>
          <t>CVE-2026-65596</t>
        </is>
      </c>
      <c r="B47" s="2" t="inlineStr">
        <is>
          <t>n8n</t>
        </is>
      </c>
      <c r="C47" s="2" t="inlineStr">
        <is>
          <t>n8n</t>
        </is>
      </c>
      <c r="D47" s="2" t="inlineStr">
        <is>
          <t>&lt;1.123.64|&gt;=2.0.0,&lt;2.29.8|==2.30.0</t>
        </is>
      </c>
      <c r="E47" s="2" t="inlineStr"/>
      <c r="F47" s="2" t="inlineStr">
        <is>
          <t>HIGH</t>
        </is>
      </c>
      <c r="G47" s="2" t="inlineStr">
        <is>
          <t>8.1</t>
        </is>
      </c>
      <c r="H47" s="2" t="inlineStr">
        <is>
          <t>CVSS:3.1/AV:N/AC:L/PR:L/UI:N/S:U/C:H/I:H/A:N</t>
        </is>
      </c>
      <c r="I47" s="2" t="inlineStr">
        <is>
          <t>20260722</t>
        </is>
      </c>
      <c r="J47" s="2" t="inlineStr">
        <is>
          <t>20261024</t>
        </is>
      </c>
      <c r="K47" s="2" t="inlineStr">
        <is>
          <t>N</t>
        </is>
      </c>
      <c r="L47" s="2" t="inlineStr">
        <is>
          <t>n8n before 1.123.64, 2.29.8, and 2.30.1 fails to enforce the "Allowed HTTP Request Domains" restriction on HTTP-based credentials (Header Auth, Basic Auth, Query Auth, OAuth) in the GraphQL node, unlike the HTTP Request node. An authenticated user able to create or edit workflows can point the node's endpoint at a server they control and exfiltrate restricted credentials. Only instances where a credential has "Allowed HTTP Request Domains" configured and is usable by non-owner users are affected.</t>
        </is>
      </c>
      <c r="M47" s="2" t="inlineStr">
        <is>
          <t>https://github.com/n8n-io/n8n/security/advisories/GHSA-gq66-9cw5-j5jm</t>
        </is>
      </c>
      <c r="N47" s="2" t="inlineStr">
        <is>
          <t>NVD</t>
        </is>
      </c>
      <c r="O47" s="2" t="inlineStr">
        <is>
          <t>npm</t>
        </is>
      </c>
      <c r="P47" s="2" t="inlineStr">
        <is>
          <t>20261025230753</t>
        </is>
      </c>
    </row>
    <row r="48">
      <c r="A48" s="2" t="inlineStr">
        <is>
          <t>CVE-2026-114053</t>
        </is>
      </c>
      <c r="B48" s="2" t="inlineStr">
        <is>
          <t>vLLM</t>
        </is>
      </c>
      <c r="C48" s="2" t="inlineStr">
        <is>
          <t>vLLM Project</t>
        </is>
      </c>
      <c r="D48" s="2" t="inlineStr">
        <is>
          <t>&lt;0.31.0</t>
        </is>
      </c>
      <c r="E48" s="2" t="inlineStr"/>
      <c r="F48" s="2" t="inlineStr">
        <is>
          <t>HIGH</t>
        </is>
      </c>
      <c r="G48" s="2" t="inlineStr">
        <is>
          <t>8.1</t>
        </is>
      </c>
      <c r="H48" s="2" t="inlineStr">
        <is>
          <t>CVSS:3.1/AV:N/AC:H/PR:N/UI:N/S:U/C:H/I:H/A:H</t>
        </is>
      </c>
      <c r="I48" s="2" t="inlineStr">
        <is>
          <t>20261021</t>
        </is>
      </c>
      <c r="J48" s="2" t="inlineStr">
        <is>
          <t>20261022</t>
        </is>
      </c>
      <c r="K48" s="2" t="inlineStr">
        <is>
          <t>N</t>
        </is>
      </c>
      <c r="L48" s="2" t="inlineStr">
        <is>
          <t>vLLM from 0.7.3 before 0.31.0 forwards the request-supplied mm_processor_kwargs.code_revision to Transformers AutoProcessor.from_pretrained, letting clients select which revision of a model's dynamic processor code is imported when trust_remote_code is enabled. An attacker controlling a revision in the served model repository can send a multimodal request to the unauthenticated /tokenize endpoint to execute arbitrary Python in the vLLM API process.</t>
        </is>
      </c>
      <c r="M48" s="2" t="inlineStr">
        <is>
          <t>https://github.com/vllm-project/vllm/commit/570735520942b6428ae98f1eb442c6d88adae55e</t>
        </is>
      </c>
      <c r="N48" s="2" t="inlineStr">
        <is>
          <t>NVD</t>
        </is>
      </c>
      <c r="O48" s="2" t="inlineStr">
        <is>
          <t>pypi</t>
        </is>
      </c>
      <c r="P48" s="2" t="inlineStr">
        <is>
          <t>20261025230753</t>
        </is>
      </c>
    </row>
    <row r="49">
      <c r="A49" s="2" t="inlineStr">
        <is>
          <t>CVE-2026-47237</t>
        </is>
      </c>
      <c r="B49" s="2" t="inlineStr">
        <is>
          <t>Kubeflow</t>
        </is>
      </c>
      <c r="C49" s="2" t="inlineStr">
        <is>
          <t>Kubeflow</t>
        </is>
      </c>
      <c r="D49" s="2" t="inlineStr">
        <is>
          <t>*</t>
        </is>
      </c>
      <c r="E49" s="2" t="inlineStr"/>
      <c r="F49" s="2" t="inlineStr">
        <is>
          <t>HIGH</t>
        </is>
      </c>
      <c r="G49" s="2" t="inlineStr">
        <is>
          <t>8.0</t>
        </is>
      </c>
      <c r="H49" s="2" t="inlineStr">
        <is>
          <t>CVSS:3.1/AV:N/AC:L/PR:L/UI:R/S:U/C:H/I:H/A:H</t>
        </is>
      </c>
      <c r="I49" s="2" t="inlineStr">
        <is>
          <t>20260721</t>
        </is>
      </c>
      <c r="J49" s="2" t="inlineStr">
        <is>
          <t>20261024</t>
        </is>
      </c>
      <c r="K49" s="2" t="inlineStr">
        <is>
          <t>N</t>
        </is>
      </c>
      <c r="L49" s="2" t="inlineStr">
        <is>
          <t>[버전범위 불명확] Kubeflow Community Distribution helps users to install Kubeflow Platform in popular Kubernetes clusters. Prior to version 26.03-rc.1, a Kubeflow setup based on the official manifests or most other packaged Kubeflow distributions is vulnerable to authorization token stealing from any user of the Kubeflow UI or APIs, such as the Dashboard, Pipelines API, or Notebooks. With this token, the attacker can take over the user's account and the data that is processed by that user. The attacker needs a valid user with the ``kubeflow-edit`` role / Contributor role in a random Kubeflow namespace to perform this attack. This is given if _Automatic Profile Creation_ is enabled. Version 26.03-rc.1 fixes the issue.</t>
        </is>
      </c>
      <c r="M49" s="2" t="inlineStr">
        <is>
          <t>https://github.com/kubeflow/community-distribution/commit/31b2411dda319bfeae8686ecdf3a39436ec32ce2</t>
        </is>
      </c>
      <c r="N49" s="2" t="inlineStr">
        <is>
          <t>NVD</t>
        </is>
      </c>
      <c r="O49" s="2" t="inlineStr">
        <is>
          <t>github</t>
        </is>
      </c>
      <c r="P49" s="2" t="inlineStr">
        <is>
          <t>20261025230753</t>
        </is>
      </c>
    </row>
    <row r="50">
      <c r="A50" s="2" t="inlineStr">
        <is>
          <t>CVE-2025-14925</t>
        </is>
      </c>
      <c r="B50" s="2" t="inlineStr">
        <is>
          <t>Accelerate</t>
        </is>
      </c>
      <c r="C50" s="2" t="inlineStr">
        <is>
          <t>Hugging Face</t>
        </is>
      </c>
      <c r="D50" s="2" t="inlineStr">
        <is>
          <t>*</t>
        </is>
      </c>
      <c r="E50" s="2" t="inlineStr"/>
      <c r="F50" s="2" t="inlineStr">
        <is>
          <t>HIGH</t>
        </is>
      </c>
      <c r="G50" s="2" t="inlineStr">
        <is>
          <t>7.8</t>
        </is>
      </c>
      <c r="H50" s="2" t="inlineStr">
        <is>
          <t>CVSS:3.0/AV:L/AC:L/PR:N/UI:R/S:U/C:H/I:H/A:H</t>
        </is>
      </c>
      <c r="I50" s="2" t="inlineStr">
        <is>
          <t>20251223</t>
        </is>
      </c>
      <c r="J50" s="2" t="inlineStr">
        <is>
          <t>20261019</t>
        </is>
      </c>
      <c r="K50" s="2" t="inlineStr">
        <is>
          <t>N</t>
        </is>
      </c>
      <c r="L50" s="2" t="inlineStr">
        <is>
          <t>[버전범위 불명확] Hugging Face Accelerate Deserialization of Untrusted Data Remote Code Execution Vulnerability. This vulnerability allows remote attackers to execute arbitrary code on affected installations of Hugging Face Accelerate. User interaction is required to exploit this vulnerability in that the target must visit a malicious page or open a malicious file. The specific flaw exists within the parsing of checkpoints. The issue results from the lack of proper validation of user-supplied data, which can result in deserialization of untrusted data. An attacker can leverage this vulnerability to execute code in the context of the current process. Was ZDI-CAN-27985.</t>
        </is>
      </c>
      <c r="M50" s="2" t="inlineStr">
        <is>
          <t>https://www.zerodayinitiative.com/advisories/ZDI-25-1140/</t>
        </is>
      </c>
      <c r="N50" s="2" t="inlineStr">
        <is>
          <t>NVD</t>
        </is>
      </c>
      <c r="O50" s="2" t="inlineStr">
        <is>
          <t>pypi</t>
        </is>
      </c>
      <c r="P50" s="2" t="inlineStr">
        <is>
          <t>20261025230753</t>
        </is>
      </c>
    </row>
    <row r="51">
      <c r="A51" s="2" t="inlineStr">
        <is>
          <t>CVE-2025-14922</t>
        </is>
      </c>
      <c r="B51" s="2" t="inlineStr">
        <is>
          <t>Diffusers</t>
        </is>
      </c>
      <c r="C51" s="2" t="inlineStr">
        <is>
          <t>Hugging Face</t>
        </is>
      </c>
      <c r="D51" s="2" t="inlineStr">
        <is>
          <t>*</t>
        </is>
      </c>
      <c r="E51" s="2" t="inlineStr"/>
      <c r="F51" s="2" t="inlineStr">
        <is>
          <t>HIGH</t>
        </is>
      </c>
      <c r="G51" s="2" t="inlineStr">
        <is>
          <t>7.8</t>
        </is>
      </c>
      <c r="H51" s="2" t="inlineStr">
        <is>
          <t>CVSS:3.0/AV:L/AC:L/PR:N/UI:R/S:U/C:H/I:H/A:H</t>
        </is>
      </c>
      <c r="I51" s="2" t="inlineStr">
        <is>
          <t>20251223</t>
        </is>
      </c>
      <c r="J51" s="2" t="inlineStr">
        <is>
          <t>20261019</t>
        </is>
      </c>
      <c r="K51" s="2" t="inlineStr">
        <is>
          <t>N</t>
        </is>
      </c>
      <c r="L51" s="2" t="inlineStr">
        <is>
          <t>[버전범위 불명확] Hugging Face Diffusers CogView4 Deserialization of Untrusted Data Remote Code Execution Vulnerability. This vulnerability allows remote attackers to execute arbitrary code on affected installations of Hugging Face Diffusers. User interaction is required to exploit this vulnerability in that the target must visit a malicious page or open a malicious file. The specific flaw exists within the parsing of checkpoints. The issue results from the lack of proper validation of user-supplied data, which can result in deserialization of untrusted data. An attacker can leverage this vulnerability to execute code in the context of the current process. Was ZDI-CAN-27424.</t>
        </is>
      </c>
      <c r="M51" s="2" t="inlineStr">
        <is>
          <t>https://www.zerodayinitiative.com/advisories/ZDI-25-1142/</t>
        </is>
      </c>
      <c r="N51" s="2" t="inlineStr">
        <is>
          <t>NVD</t>
        </is>
      </c>
      <c r="O51" s="2" t="inlineStr">
        <is>
          <t>pypi</t>
        </is>
      </c>
      <c r="P51" s="2" t="inlineStr">
        <is>
          <t>20261025230753</t>
        </is>
      </c>
    </row>
    <row r="52">
      <c r="A52" s="2" t="inlineStr">
        <is>
          <t>CVE-2025-14920</t>
        </is>
      </c>
      <c r="B52" s="2" t="inlineStr">
        <is>
          <t>Transformers</t>
        </is>
      </c>
      <c r="C52" s="2" t="inlineStr">
        <is>
          <t>huggingface</t>
        </is>
      </c>
      <c r="D52" s="2">
        <f>=4.54.1</f>
        <v/>
      </c>
      <c r="E52" s="2" t="inlineStr"/>
      <c r="F52" s="2" t="inlineStr">
        <is>
          <t>HIGH</t>
        </is>
      </c>
      <c r="G52" s="2" t="inlineStr">
        <is>
          <t>7.8</t>
        </is>
      </c>
      <c r="H52" s="2" t="inlineStr">
        <is>
          <t>CVSS:3.0/AV:L/AC:L/PR:N/UI:R/S:U/C:H/I:H/A:H</t>
        </is>
      </c>
      <c r="I52" s="2" t="inlineStr">
        <is>
          <t>20251223</t>
        </is>
      </c>
      <c r="J52" s="2" t="inlineStr">
        <is>
          <t>20261019</t>
        </is>
      </c>
      <c r="K52" s="2" t="inlineStr">
        <is>
          <t>N</t>
        </is>
      </c>
      <c r="L52" s="2" t="inlineStr">
        <is>
          <t>Hugging Face Transformers Perceiver Model Deserialization of Untrusted Data Remote Code Execution Vulnerability. This vulnerability allows remote attackers to execute arbitrary code on affected installations of Hugging Face Transformers. User interaction is required to exploit this vulnerability in that the target must visit a malicious page or open a malicious file. The specific flaw exists within the parsing of model files. The issue results from the lack of proper validation of user-supplied data, which can result in deserialization of untrusted data. An attacker can leverage this vulnerability to execute code in the context of the current user. Was ZDI-CAN-25423.</t>
        </is>
      </c>
      <c r="M52" s="2" t="inlineStr">
        <is>
          <t>https://www.zerodayinitiative.com/advisories/ZDI-25-1150/</t>
        </is>
      </c>
      <c r="N52" s="2" t="inlineStr">
        <is>
          <t>NVD</t>
        </is>
      </c>
      <c r="O52" s="2" t="inlineStr">
        <is>
          <t>pypi</t>
        </is>
      </c>
      <c r="P52" s="2" t="inlineStr">
        <is>
          <t>20261025230753</t>
        </is>
      </c>
    </row>
    <row r="53">
      <c r="A53" s="2" t="inlineStr">
        <is>
          <t>CVE-2025-14921</t>
        </is>
      </c>
      <c r="B53" s="2" t="inlineStr">
        <is>
          <t>Transformers</t>
        </is>
      </c>
      <c r="C53" s="2" t="inlineStr">
        <is>
          <t>huggingface</t>
        </is>
      </c>
      <c r="D53" s="2">
        <f>=4.54.1</f>
        <v/>
      </c>
      <c r="E53" s="2" t="inlineStr"/>
      <c r="F53" s="2" t="inlineStr">
        <is>
          <t>HIGH</t>
        </is>
      </c>
      <c r="G53" s="2" t="inlineStr">
        <is>
          <t>7.8</t>
        </is>
      </c>
      <c r="H53" s="2" t="inlineStr">
        <is>
          <t>CVSS:3.0/AV:L/AC:L/PR:N/UI:R/S:U/C:H/I:H/A:H</t>
        </is>
      </c>
      <c r="I53" s="2" t="inlineStr">
        <is>
          <t>20251223</t>
        </is>
      </c>
      <c r="J53" s="2" t="inlineStr">
        <is>
          <t>20261019</t>
        </is>
      </c>
      <c r="K53" s="2" t="inlineStr">
        <is>
          <t>N</t>
        </is>
      </c>
      <c r="L53" s="2" t="inlineStr">
        <is>
          <t>Hugging Face Transformers Transformer-XL Model Deserialization of Untrusted Data Remote Code Execution Vulnerability. This vulnerability allows remote attackers to execute arbitrary code on affected installations of Hugging Face Transformers. User interaction is required to exploit this vulnerability in that the target must visit a malicious page or open a malicious file. The specific flaw exists within the parsing of model files. The issue results from the lack of proper validation of user-supplied data, which can result in deserialization of untrusted data. An attacker can leverage this vulnerability to execute code in the context of the current user. Was ZDI-CAN-25424.</t>
        </is>
      </c>
      <c r="M53" s="2" t="inlineStr">
        <is>
          <t>https://www.zerodayinitiative.com/advisories/ZDI-25-1149/</t>
        </is>
      </c>
      <c r="N53" s="2" t="inlineStr">
        <is>
          <t>NVD</t>
        </is>
      </c>
      <c r="O53" s="2" t="inlineStr">
        <is>
          <t>pypi</t>
        </is>
      </c>
      <c r="P53" s="2" t="inlineStr">
        <is>
          <t>20261025230753</t>
        </is>
      </c>
    </row>
    <row r="54">
      <c r="A54" s="2" t="inlineStr">
        <is>
          <t>CVE-2025-14924</t>
        </is>
      </c>
      <c r="B54" s="2" t="inlineStr">
        <is>
          <t>Transformers</t>
        </is>
      </c>
      <c r="C54" s="2" t="inlineStr">
        <is>
          <t>huggingface</t>
        </is>
      </c>
      <c r="D54" s="2">
        <f>=4.55.0</f>
        <v/>
      </c>
      <c r="E54" s="2" t="inlineStr"/>
      <c r="F54" s="2" t="inlineStr">
        <is>
          <t>HIGH</t>
        </is>
      </c>
      <c r="G54" s="2" t="inlineStr">
        <is>
          <t>7.8</t>
        </is>
      </c>
      <c r="H54" s="2" t="inlineStr">
        <is>
          <t>CVSS:3.0/AV:L/AC:L/PR:N/UI:R/S:U/C:H/I:H/A:H</t>
        </is>
      </c>
      <c r="I54" s="2" t="inlineStr">
        <is>
          <t>20251223</t>
        </is>
      </c>
      <c r="J54" s="2" t="inlineStr">
        <is>
          <t>20261019</t>
        </is>
      </c>
      <c r="K54" s="2" t="inlineStr">
        <is>
          <t>N</t>
        </is>
      </c>
      <c r="L54" s="2" t="inlineStr">
        <is>
          <t>Hugging Face Transformers megatron_gpt2 Deserialization of Untrusted Data Remote Code Execution Vulnerability. This vulnerability allows remote attackers to execute arbitrary code on affected installations of Hugging Face Transformers. User interaction is required to exploit this vulnerability in that the target must visit a malicious page or open a malicious file. The specific flaw exists within the parsing of checkpoints. The issue results from the lack of proper validation of user-supplied data, which can result in deserialization of untrusted data. An attacker can leverage this vulnerability to execute code in the context of the current process. Was ZDI-CAN-27984.</t>
        </is>
      </c>
      <c r="M54" s="2" t="inlineStr">
        <is>
          <t>https://www.zerodayinitiative.com/advisories/ZDI-25-1141/</t>
        </is>
      </c>
      <c r="N54" s="2" t="inlineStr">
        <is>
          <t>NVD</t>
        </is>
      </c>
      <c r="O54" s="2" t="inlineStr">
        <is>
          <t>pypi</t>
        </is>
      </c>
      <c r="P54" s="2" t="inlineStr">
        <is>
          <t>20261025230753</t>
        </is>
      </c>
    </row>
    <row r="55">
      <c r="A55" s="2" t="inlineStr">
        <is>
          <t>CVE-2025-14926</t>
        </is>
      </c>
      <c r="B55" s="2" t="inlineStr">
        <is>
          <t>Transformers</t>
        </is>
      </c>
      <c r="C55" s="2" t="inlineStr">
        <is>
          <t>huggingface</t>
        </is>
      </c>
      <c r="D55" s="2">
        <f>=4.57.0</f>
        <v/>
      </c>
      <c r="E55" s="2" t="inlineStr"/>
      <c r="F55" s="2" t="inlineStr">
        <is>
          <t>HIGH</t>
        </is>
      </c>
      <c r="G55" s="2" t="inlineStr">
        <is>
          <t>7.8</t>
        </is>
      </c>
      <c r="H55" s="2" t="inlineStr">
        <is>
          <t>CVSS:3.0/AV:L/AC:L/PR:N/UI:R/S:U/C:H/I:H/A:H</t>
        </is>
      </c>
      <c r="I55" s="2" t="inlineStr">
        <is>
          <t>20251223</t>
        </is>
      </c>
      <c r="J55" s="2" t="inlineStr">
        <is>
          <t>20261019</t>
        </is>
      </c>
      <c r="K55" s="2" t="inlineStr">
        <is>
          <t>N</t>
        </is>
      </c>
      <c r="L55" s="2" t="inlineStr">
        <is>
          <t>Hugging Face Transformers SEW convert_config Code Injection Remote Code Execution Vulnerability. This vulnerability allows remote attackers to execute arbitrary code on affected installations of Hugging Face Transformers. User interaction is required to exploit this vulnerability in that the target must convert a malicious checkpoint. The specific flaw exists within the convert_config function. The issue results from the lack of proper validation of a user-supplied string before using it to execute Python code. An attacker can leverage this vulnerability to execute code in the context of the current user. Was ZDI-CAN-28251.</t>
        </is>
      </c>
      <c r="M55" s="2" t="inlineStr">
        <is>
          <t>https://www.zerodayinitiative.com/advisories/ZDI-25-1147/</t>
        </is>
      </c>
      <c r="N55" s="2" t="inlineStr">
        <is>
          <t>NVD</t>
        </is>
      </c>
      <c r="O55" s="2" t="inlineStr">
        <is>
          <t>pypi</t>
        </is>
      </c>
      <c r="P55" s="2" t="inlineStr">
        <is>
          <t>20261025230753</t>
        </is>
      </c>
    </row>
    <row r="56">
      <c r="A56" s="2" t="inlineStr">
        <is>
          <t>CVE-2025-14927</t>
        </is>
      </c>
      <c r="B56" s="2" t="inlineStr">
        <is>
          <t>Transformers</t>
        </is>
      </c>
      <c r="C56" s="2" t="inlineStr">
        <is>
          <t>huggingface</t>
        </is>
      </c>
      <c r="D56" s="2">
        <f>=4.57.0</f>
        <v/>
      </c>
      <c r="E56" s="2" t="inlineStr"/>
      <c r="F56" s="2" t="inlineStr">
        <is>
          <t>HIGH</t>
        </is>
      </c>
      <c r="G56" s="2" t="inlineStr">
        <is>
          <t>7.8</t>
        </is>
      </c>
      <c r="H56" s="2" t="inlineStr">
        <is>
          <t>CVSS:3.0/AV:L/AC:L/PR:N/UI:R/S:U/C:H/I:H/A:H</t>
        </is>
      </c>
      <c r="I56" s="2" t="inlineStr">
        <is>
          <t>20251223</t>
        </is>
      </c>
      <c r="J56" s="2" t="inlineStr">
        <is>
          <t>20261019</t>
        </is>
      </c>
      <c r="K56" s="2" t="inlineStr">
        <is>
          <t>N</t>
        </is>
      </c>
      <c r="L56" s="2" t="inlineStr">
        <is>
          <t>Hugging Face Transformers SEW-D convert_config Code Injection Remote Code Execution Vulnerability. This vulnerability allows remote attackers to execute arbitrary code on affected installations of Hugging Face Transformers. User interaction is required to exploit this vulnerability in that the target must convert a malicious checkpoint. The specific flaw exists within the convert_config function. The issue results from the lack of proper validation of a user-supplied string before using it to execute Python code. An attacker can leverage this vulnerability to execute code in the context of the current user. . Was ZDI-CAN-28252.</t>
        </is>
      </c>
      <c r="M56" s="2" t="inlineStr">
        <is>
          <t>https://www.zerodayinitiative.com/advisories/ZDI-25-1148/</t>
        </is>
      </c>
      <c r="N56" s="2" t="inlineStr">
        <is>
          <t>NVD</t>
        </is>
      </c>
      <c r="O56" s="2" t="inlineStr">
        <is>
          <t>pypi</t>
        </is>
      </c>
      <c r="P56" s="2" t="inlineStr">
        <is>
          <t>20261025230753</t>
        </is>
      </c>
    </row>
    <row r="57">
      <c r="A57" s="2" t="inlineStr">
        <is>
          <t>CVE-2025-14928</t>
        </is>
      </c>
      <c r="B57" s="2" t="inlineStr">
        <is>
          <t>Transformers</t>
        </is>
      </c>
      <c r="C57" s="2" t="inlineStr">
        <is>
          <t>huggingface</t>
        </is>
      </c>
      <c r="D57" s="2">
        <f>=4.57.0</f>
        <v/>
      </c>
      <c r="E57" s="2" t="inlineStr"/>
      <c r="F57" s="2" t="inlineStr">
        <is>
          <t>HIGH</t>
        </is>
      </c>
      <c r="G57" s="2" t="inlineStr">
        <is>
          <t>7.8</t>
        </is>
      </c>
      <c r="H57" s="2" t="inlineStr">
        <is>
          <t>CVSS:3.0/AV:L/AC:L/PR:N/UI:R/S:U/C:H/I:H/A:H</t>
        </is>
      </c>
      <c r="I57" s="2" t="inlineStr">
        <is>
          <t>20251223</t>
        </is>
      </c>
      <c r="J57" s="2" t="inlineStr">
        <is>
          <t>20261019</t>
        </is>
      </c>
      <c r="K57" s="2" t="inlineStr">
        <is>
          <t>N</t>
        </is>
      </c>
      <c r="L57" s="2" t="inlineStr">
        <is>
          <t>Hugging Face Transformers HuBERT convert_config Code Injection Remote Code Execution Vulnerability. This vulnerability allows remote attackers to execute arbitrary code on affected installations of Hugging Face Transformers. User interaction is required to exploit this vulnerability in that the target must convert a malicious checkpoint. The specific flaw exists within the convert_config function. The issue results from the lack of proper validation of a user-supplied string before using it to execute Python code. An attacker can leverage this vulnerability to execute code in the context of the current user. Was ZDI-CAN-28253.</t>
        </is>
      </c>
      <c r="M57" s="2" t="inlineStr">
        <is>
          <t>https://www.zerodayinitiative.com/advisories/ZDI-25-1146/</t>
        </is>
      </c>
      <c r="N57" s="2" t="inlineStr">
        <is>
          <t>NVD</t>
        </is>
      </c>
      <c r="O57" s="2" t="inlineStr">
        <is>
          <t>pypi</t>
        </is>
      </c>
      <c r="P57" s="2" t="inlineStr">
        <is>
          <t>20261025230753</t>
        </is>
      </c>
    </row>
    <row r="58">
      <c r="A58" s="2" t="inlineStr">
        <is>
          <t>CVE-2025-14929</t>
        </is>
      </c>
      <c r="B58" s="2" t="inlineStr">
        <is>
          <t>Transformers</t>
        </is>
      </c>
      <c r="C58" s="2" t="inlineStr">
        <is>
          <t>huggingface</t>
        </is>
      </c>
      <c r="D58" s="2">
        <f>=5.0.0</f>
        <v/>
      </c>
      <c r="E58" s="2" t="inlineStr"/>
      <c r="F58" s="2" t="inlineStr">
        <is>
          <t>HIGH</t>
        </is>
      </c>
      <c r="G58" s="2" t="inlineStr">
        <is>
          <t>7.8</t>
        </is>
      </c>
      <c r="H58" s="2" t="inlineStr">
        <is>
          <t>CVSS:3.0/AV:L/AC:L/PR:N/UI:R/S:U/C:H/I:H/A:H</t>
        </is>
      </c>
      <c r="I58" s="2" t="inlineStr">
        <is>
          <t>20251223</t>
        </is>
      </c>
      <c r="J58" s="2" t="inlineStr">
        <is>
          <t>20261019</t>
        </is>
      </c>
      <c r="K58" s="2" t="inlineStr">
        <is>
          <t>N</t>
        </is>
      </c>
      <c r="L58" s="2" t="inlineStr">
        <is>
          <t>Hugging Face Transformers X-CLIP Checkpoint Conversion Deserialization of Untrusted Data Remote Code Execution Vulnerability. This vulnerability allows remote attackers to execute arbitrary code on affected installations of Hugging Face Transformers. User interaction is required to exploit this vulnerability in that the target must visit a malicious page or open a malicious file. The specific flaw exists within the parsing of checkpoints. The issue results from the lack of proper validation of user-supplied data, which can result in deserialization of untrusted data. An attacker can leverage this vulnerability to execute code in the context of the current process. Was ZDI-CAN-28308.</t>
        </is>
      </c>
      <c r="M58" s="2" t="inlineStr">
        <is>
          <t>https://www.zerodayinitiative.com/advisories/ZDI-25-1144/</t>
        </is>
      </c>
      <c r="N58" s="2" t="inlineStr">
        <is>
          <t>NVD</t>
        </is>
      </c>
      <c r="O58" s="2" t="inlineStr">
        <is>
          <t>pypi</t>
        </is>
      </c>
      <c r="P58" s="2" t="inlineStr">
        <is>
          <t>20261025230753</t>
        </is>
      </c>
    </row>
    <row r="59">
      <c r="A59" s="2" t="inlineStr">
        <is>
          <t>CVE-2025-14930</t>
        </is>
      </c>
      <c r="B59" s="2" t="inlineStr">
        <is>
          <t>Transformers</t>
        </is>
      </c>
      <c r="C59" s="2" t="inlineStr">
        <is>
          <t>huggingface</t>
        </is>
      </c>
      <c r="D59" s="2">
        <f>=4.57.1</f>
        <v/>
      </c>
      <c r="E59" s="2" t="inlineStr"/>
      <c r="F59" s="2" t="inlineStr">
        <is>
          <t>HIGH</t>
        </is>
      </c>
      <c r="G59" s="2" t="inlineStr">
        <is>
          <t>7.8</t>
        </is>
      </c>
      <c r="H59" s="2" t="inlineStr">
        <is>
          <t>CVSS:3.0/AV:L/AC:L/PR:N/UI:R/S:U/C:H/I:H/A:H</t>
        </is>
      </c>
      <c r="I59" s="2" t="inlineStr">
        <is>
          <t>20251223</t>
        </is>
      </c>
      <c r="J59" s="2" t="inlineStr">
        <is>
          <t>20261019</t>
        </is>
      </c>
      <c r="K59" s="2" t="inlineStr">
        <is>
          <t>N</t>
        </is>
      </c>
      <c r="L59" s="2" t="inlineStr">
        <is>
          <t>Hugging Face Transformers GLM4 Deserialization of Untrusted Data Remote Code Execution Vulnerability. This vulnerability allows remote attackers to execute arbitrary code on affected installations of Hugging Face Transformers. User interaction is required to exploit this vulnerability in that the target must visit a malicious page or open a malicious file. The specific flaw exists within the parsing of weights. The issue results from the lack of proper validation of user-supplied data, which can result in deserialization of untrusted data. An attacker can leverage this vulnerability to execute code in the context of the current process. Was ZDI-CAN-28309.</t>
        </is>
      </c>
      <c r="M59" s="2" t="inlineStr">
        <is>
          <t>https://www.zerodayinitiative.com/advisories/ZDI-25-1145/</t>
        </is>
      </c>
      <c r="N59" s="2" t="inlineStr">
        <is>
          <t>NVD</t>
        </is>
      </c>
      <c r="O59" s="2" t="inlineStr">
        <is>
          <t>pypi</t>
        </is>
      </c>
      <c r="P59" s="2" t="inlineStr">
        <is>
          <t>20261025230753</t>
        </is>
      </c>
    </row>
    <row r="60">
      <c r="A60" s="2" t="inlineStr">
        <is>
          <t>CVE-2026-96778</t>
        </is>
      </c>
      <c r="B60" s="2" t="inlineStr">
        <is>
          <t>Pillow</t>
        </is>
      </c>
      <c r="C60" s="2" t="inlineStr">
        <is>
          <t>Python Pillow</t>
        </is>
      </c>
      <c r="D60" s="2" t="inlineStr">
        <is>
          <t>&gt;=9.4.0,&lt;13.0.0</t>
        </is>
      </c>
      <c r="E60" s="2" t="inlineStr">
        <is>
          <t>13.0.0</t>
        </is>
      </c>
      <c r="F60" s="2" t="inlineStr">
        <is>
          <t>HIGH</t>
        </is>
      </c>
      <c r="G60" s="2" t="inlineStr">
        <is>
          <t>7.7</t>
        </is>
      </c>
      <c r="H60" s="2" t="inlineStr">
        <is>
          <t>CVSS:4.0/AV:N/AC:L/AT:P/PR:N/UI:P/VC:H/VI:H/VA:H/SC:N/SI:N/SA:N/E:X/CR:X/IR:X/AR:X/MAV:X/MAC:X/MAT:X/MPR:X/MUI:X/MVC:X/MVI:X/MVA:X/MSC:X/MSI:X/MSA:X/S:X/AU:X/R:X/V:X/RE:X/U:X</t>
        </is>
      </c>
      <c r="I60" s="2" t="inlineStr">
        <is>
          <t>20261021</t>
        </is>
      </c>
      <c r="J60" s="2" t="inlineStr">
        <is>
          <t>20261022</t>
        </is>
      </c>
      <c r="K60" s="2" t="inlineStr">
        <is>
          <t>N</t>
        </is>
      </c>
      <c r="L60" s="2" t="inlineStr">
        <is>
          <t>Pillow is a Python imaging library. From 9.4.0 until 13.0.0, ImagingJpegEncode() in src/libImaging/JpegEncode.c can call jpeg_write_marker() for a JPEG COM comment when an ICC profile has exactly filled the 65536-byte encoder buffer. libjpeg writes one byte before checking the exhausted free_in_buffer counter, which then wraps and permits the attacker-controlled comment and subsequent compressed image data to overwrite adjacent heap memory. Re-saving an untrusted image as JPEG while preserving its ICC profile and forwarded comment can crash the process and may enable code execution in suitable runtime and heap layouts. This issue is fixed in version 13.0.0.</t>
        </is>
      </c>
      <c r="M60" s="2" t="inlineStr">
        <is>
          <t>https://github.com/python-pillow/Pillow/commit/02561b8dc6117d5670d4b469fecdd02c70854f9b</t>
        </is>
      </c>
      <c r="N60" s="2" t="inlineStr">
        <is>
          <t>NVD+OSV+GHSA</t>
        </is>
      </c>
      <c r="O60" s="2" t="inlineStr">
        <is>
          <t>pypi</t>
        </is>
      </c>
      <c r="P60" s="2" t="inlineStr">
        <is>
          <t>20261025230840</t>
        </is>
      </c>
    </row>
    <row r="61">
      <c r="A61" s="2" t="inlineStr">
        <is>
          <t>CVE-2026-116180</t>
        </is>
      </c>
      <c r="B61" s="2" t="inlineStr">
        <is>
          <t>vLLM</t>
        </is>
      </c>
      <c r="C61" s="2" t="inlineStr">
        <is>
          <t>vLLM Project</t>
        </is>
      </c>
      <c r="D61" s="2" t="inlineStr">
        <is>
          <t>&lt;0.31.0</t>
        </is>
      </c>
      <c r="E61" s="2" t="inlineStr"/>
      <c r="F61" s="2" t="inlineStr">
        <is>
          <t>HIGH</t>
        </is>
      </c>
      <c r="G61" s="2" t="inlineStr">
        <is>
          <t>7.7</t>
        </is>
      </c>
      <c r="H61" s="2" t="inlineStr">
        <is>
          <t>CVSS:3.1/AV:N/AC:L/PR:L/UI:N/S:C/C:N/I:N/A:H</t>
        </is>
      </c>
      <c r="I61" s="2" t="inlineStr">
        <is>
          <t>20261025</t>
        </is>
      </c>
      <c r="J61" s="2" t="inlineStr">
        <is>
          <t>20261025</t>
        </is>
      </c>
      <c r="K61" s="2" t="inlineStr">
        <is>
          <t>N</t>
        </is>
      </c>
      <c r="L61" s="2" t="inlineStr">
        <is>
          <t>vLLM from 0.8.5 before 0.31.0 has a denial of service flaw. LogprobsTensors.empty_cpu() in vllm/v1/outputs.py allocates an uninitialized int32 tensor, and the V1 model runner leaves prompt positions reported as computed by a KV connector unwritten. A client sharing the engine can send prompt_logprobs (or echo with logprobs) against a connector-cached prefix, making tokenizer decode raise OverflowError, which crashes EngineCore and drops all co-tenant requests.</t>
        </is>
      </c>
      <c r="M61" s="2" t="inlineStr">
        <is>
          <t>https://github.com/vllm-project/vllm/security/advisories/GHSA-rhcx-5729-88vg</t>
        </is>
      </c>
      <c r="N61" s="2" t="inlineStr">
        <is>
          <t>NVD</t>
        </is>
      </c>
      <c r="O61" s="2" t="inlineStr">
        <is>
          <t>pypi</t>
        </is>
      </c>
      <c r="P61" s="2" t="inlineStr">
        <is>
          <t>20261025230753</t>
        </is>
      </c>
    </row>
    <row r="62">
      <c r="A62" s="2" t="inlineStr">
        <is>
          <t>CVE-2026-45804</t>
        </is>
      </c>
      <c r="B62" s="2" t="inlineStr">
        <is>
          <t>Diffusers</t>
        </is>
      </c>
      <c r="C62" s="2" t="inlineStr">
        <is>
          <t>huggingface</t>
        </is>
      </c>
      <c r="D62" s="2" t="inlineStr">
        <is>
          <t>&lt;0.38.0</t>
        </is>
      </c>
      <c r="E62" s="2" t="inlineStr">
        <is>
          <t>0.38.0</t>
        </is>
      </c>
      <c r="F62" s="2" t="inlineStr">
        <is>
          <t>HIGH</t>
        </is>
      </c>
      <c r="G62" s="2" t="inlineStr">
        <is>
          <t>7.5</t>
        </is>
      </c>
      <c r="H62" s="2" t="inlineStr">
        <is>
          <t>CVSS:3.1/AV:N/AC:H/PR:N/UI:R/S:U/C:H/I:H/A:H</t>
        </is>
      </c>
      <c r="I62" s="2" t="inlineStr">
        <is>
          <t>20260715</t>
        </is>
      </c>
      <c r="J62" s="2" t="inlineStr">
        <is>
          <t>20261024</t>
        </is>
      </c>
      <c r="K62" s="2" t="inlineStr">
        <is>
          <t>N</t>
        </is>
      </c>
      <c r="L62" s="2" t="inlineStr">
        <is>
          <t>Diffusers는 사전 훈련된 확산 모델을 위한 라이브러리입니다. 0.38.0 이전에는 Diffusers의 DiffusionPipeline.from_pretrained 흐름이 trust_remote_code 가드를 우회할 수 있습니다. download()는 나중에 변경할 수 있는 캐시된 폴더에서 로드하기 전에 model_index.json 및 사용자 정의 파이프라인 코드를 검증하여 사용자 정의 .py 파이프라인 코드가 있는 허브 저장소가 custom_pipeline 또는 trust_remote_code=True를 전달하지 않고도 사용자 정의 파이프라인 흐름을 통해 실행될 수 있도록 하기 때문입니다. 이 문제는 버전 0.38.0에서 해결되었습니다.</t>
        </is>
      </c>
      <c r="M62" s="2" t="inlineStr">
        <is>
          <t>https://github.com/huggingface/diffusers/commit/a37f6f8394ac2a7ee8360c3abea811efe54512b1</t>
        </is>
      </c>
      <c r="N62" s="2" t="inlineStr">
        <is>
          <t>NVD</t>
        </is>
      </c>
      <c r="O62" s="2" t="inlineStr">
        <is>
          <t>pypi</t>
        </is>
      </c>
      <c r="P62" s="2" t="inlineStr">
        <is>
          <t>20261025230753</t>
        </is>
      </c>
    </row>
    <row r="63">
      <c r="A63" s="2" t="inlineStr">
        <is>
          <t>CVE-2026-49119</t>
        </is>
      </c>
      <c r="B63" s="2" t="inlineStr">
        <is>
          <t>Gradio</t>
        </is>
      </c>
      <c r="C63" s="2" t="inlineStr">
        <is>
          <t>gradio project</t>
        </is>
      </c>
      <c r="D63" s="2" t="inlineStr">
        <is>
          <t>&lt;6.16.0</t>
        </is>
      </c>
      <c r="E63" s="2" t="inlineStr">
        <is>
          <t>6.16.0</t>
        </is>
      </c>
      <c r="F63" s="2" t="inlineStr">
        <is>
          <t>HIGH</t>
        </is>
      </c>
      <c r="G63" s="2" t="inlineStr">
        <is>
          <t>7.5</t>
        </is>
      </c>
      <c r="H63" s="2" t="inlineStr">
        <is>
          <t>CVSS:3.1/AV:N/AC:L/PR:N/UI:N/S:U/C:H/I:N/A:N</t>
        </is>
      </c>
      <c r="I63" s="2" t="inlineStr">
        <is>
          <t>20260701</t>
        </is>
      </c>
      <c r="J63" s="2" t="inlineStr">
        <is>
          <t>20261025</t>
        </is>
      </c>
      <c r="K63" s="2" t="inlineStr">
        <is>
          <t>N</t>
        </is>
      </c>
      <c r="L63" s="2" t="inlineStr">
        <is>
          <t>Gradio before 6.16.0 contain a path traversal vulnerability in the FileExplorer component's preprocess() method that allows unauthenticated attackers to escape the configured root directory by supplying path segments containing directory traversal sequences or absolute paths. Attackers can provide crafted path segments that cause os.path.join to discard the root_dir prefix entirely, resulting in arbitrary file read or exposure of sensitive files outside the intended directory.</t>
        </is>
      </c>
      <c r="M63" s="2" t="inlineStr">
        <is>
          <t>https://github.com/gradio-app/gradio/commit/97d541f3d5fd05b2587a69ecc94b68fe5d2d7004</t>
        </is>
      </c>
      <c r="N63" s="2" t="inlineStr">
        <is>
          <t>NVD</t>
        </is>
      </c>
      <c r="O63" s="2" t="inlineStr">
        <is>
          <t>pypi</t>
        </is>
      </c>
      <c r="P63" s="2" t="inlineStr">
        <is>
          <t>20261025230753</t>
        </is>
      </c>
    </row>
    <row r="64">
      <c r="A64" s="2" t="inlineStr">
        <is>
          <t>CVE-2026-48068</t>
        </is>
      </c>
      <c r="B64" s="2" t="inlineStr">
        <is>
          <t>gRPC</t>
        </is>
      </c>
      <c r="C64" s="2" t="inlineStr">
        <is>
          <t>gRPC Authors</t>
        </is>
      </c>
      <c r="D64" s="2" t="inlineStr">
        <is>
          <t>&lt;1.14.4</t>
        </is>
      </c>
      <c r="E64" s="2" t="inlineStr">
        <is>
          <t>1.9.16</t>
        </is>
      </c>
      <c r="F64" s="2" t="inlineStr">
        <is>
          <t>HIGH</t>
        </is>
      </c>
      <c r="G64" s="2" t="inlineStr">
        <is>
          <t>7.5</t>
        </is>
      </c>
      <c r="H64" s="2" t="inlineStr">
        <is>
          <t>CVSS:3.1/AV:N/AC:L/PR:N/UI:N/S:U/C:N/I:N/A:H</t>
        </is>
      </c>
      <c r="I64" s="2" t="inlineStr">
        <is>
          <t>20260714</t>
        </is>
      </c>
      <c r="J64" s="2" t="inlineStr">
        <is>
          <t>20261024</t>
        </is>
      </c>
      <c r="K64" s="2" t="inlineStr">
        <is>
          <t>N</t>
        </is>
      </c>
      <c r="L64" s="2" t="inlineStr">
        <is>
          <t>@grpc/grps-js는 C++ 애드온 없이 순전히 JavaScript로 gRPC의 핵심 기능을 구현합니다. 1.9.16, 1.10.12, 1.11.4, 1.12.7, 1.13.5 및 1.14.4 이전에는 잘못된 수신 HTTP/2 스트림 시작으로 인해 @grpc/grpc-js를 사용하여 생성된 서버 프로세스가 중단될 수 있습니다. 이 문제는 버전 1.9.16, 1.10.12, 1.11.4, 1.12.7, 1.13.5 및 1.14.4에서 해결되었습니다.</t>
        </is>
      </c>
      <c r="M64" s="2" t="inlineStr">
        <is>
          <t>https://github.com/grpc/grpc-node/commit/058665a6c6dae445e2ab0f3f6259164fac52ee17</t>
        </is>
      </c>
      <c r="N64" s="2" t="inlineStr">
        <is>
          <t>NVD</t>
        </is>
      </c>
      <c r="O64" s="2" t="inlineStr">
        <is>
          <t>pypi</t>
        </is>
      </c>
      <c r="P64" s="2" t="inlineStr">
        <is>
          <t>20261025230753</t>
        </is>
      </c>
    </row>
    <row r="65">
      <c r="A65" s="2" t="inlineStr">
        <is>
          <t>CVE-2026-48069</t>
        </is>
      </c>
      <c r="B65" s="2" t="inlineStr">
        <is>
          <t>gRPC</t>
        </is>
      </c>
      <c r="C65" s="2" t="inlineStr">
        <is>
          <t>gRPC Authors</t>
        </is>
      </c>
      <c r="D65" s="2" t="inlineStr">
        <is>
          <t>&lt;1.14.4</t>
        </is>
      </c>
      <c r="E65" s="2" t="inlineStr">
        <is>
          <t>1.9.16</t>
        </is>
      </c>
      <c r="F65" s="2" t="inlineStr">
        <is>
          <t>HIGH</t>
        </is>
      </c>
      <c r="G65" s="2" t="inlineStr">
        <is>
          <t>7.5</t>
        </is>
      </c>
      <c r="H65" s="2" t="inlineStr">
        <is>
          <t>CVSS:3.1/AV:N/AC:L/PR:N/UI:N/S:U/C:N/I:N/A:H</t>
        </is>
      </c>
      <c r="I65" s="2" t="inlineStr">
        <is>
          <t>20260714</t>
        </is>
      </c>
      <c r="J65" s="2" t="inlineStr">
        <is>
          <t>20261024</t>
        </is>
      </c>
      <c r="K65" s="2" t="inlineStr">
        <is>
          <t>N</t>
        </is>
      </c>
      <c r="L65" s="2" t="inlineStr">
        <is>
          <t>@grpc/grps-js는 C++ 애드온 없이 순전히 JavaScript로 gRPC의 핵심 기능을 구현합니다. 1.9.16, 1.10.12, 1.11.4, 1.12.7, 1.13.5 및 1.14.4 이전에는 잘못된 수신 압축 메시지로 인해 @grpc/grpc-js를 사용하는 클라이언트 또는 서버 프로세스가 중단될 수 있습니다. 이 문제는 버전 1.9.16, 1.10.12, 1.11.4, 1.12.7, 1.13.5 및 1.14.4에서 해결되었습니다.</t>
        </is>
      </c>
      <c r="M65" s="2" t="inlineStr">
        <is>
          <t>https://github.com/grpc/grpc-node/commit/2375eadcc52ca2b1ef55288bcd6355168b02706c</t>
        </is>
      </c>
      <c r="N65" s="2" t="inlineStr">
        <is>
          <t>NVD</t>
        </is>
      </c>
      <c r="O65" s="2" t="inlineStr">
        <is>
          <t>pypi</t>
        </is>
      </c>
      <c r="P65" s="2" t="inlineStr">
        <is>
          <t>20261025230753</t>
        </is>
      </c>
    </row>
    <row r="66">
      <c r="A66" s="2" t="inlineStr">
        <is>
          <t>CVE-2025-6984</t>
        </is>
      </c>
      <c r="B66" s="2" t="inlineStr">
        <is>
          <t>LangChain</t>
        </is>
      </c>
      <c r="C66" s="2" t="inlineStr">
        <is>
          <t>LangChain</t>
        </is>
      </c>
      <c r="D66" s="2" t="inlineStr">
        <is>
          <t>*</t>
        </is>
      </c>
      <c r="E66" s="2" t="inlineStr"/>
      <c r="F66" s="2" t="inlineStr">
        <is>
          <t>HIGH</t>
        </is>
      </c>
      <c r="G66" s="2" t="inlineStr">
        <is>
          <t>7.5</t>
        </is>
      </c>
      <c r="H66" s="2" t="inlineStr">
        <is>
          <t>CVSS:3.0/AV:N/AC:L/PR:N/UI:N/S:U/C:H/I:N/A:N</t>
        </is>
      </c>
      <c r="I66" s="2" t="inlineStr">
        <is>
          <t>20250904</t>
        </is>
      </c>
      <c r="J66" s="2" t="inlineStr">
        <is>
          <t>20261019</t>
        </is>
      </c>
      <c r="K66" s="2" t="inlineStr">
        <is>
          <t>N</t>
        </is>
      </c>
      <c r="L66" s="2" t="inlineStr">
        <is>
          <t>[버전범위 불명확] The langchain-ai/langchain project, specifically the EverNoteLoader component, is vulnerable to XML External Entity (XXE) attacks due to insecure XML parsing. The affected version is 0.3.63. The vulnerability arises from the use of etree.iterparse() without disabling external entity references, which can lead to sensitive information disclosure. An attacker could exploit this by crafting a malicious XML payload that references local files, potentially exposing sensitive data such as /etc/passwd.</t>
        </is>
      </c>
      <c r="M66" s="2" t="inlineStr">
        <is>
          <t>https://huntr.com/bounties/a6b521cf-258c-41c0-9edb-d8ef976abb2a</t>
        </is>
      </c>
      <c r="N66" s="2" t="inlineStr">
        <is>
          <t>NVD</t>
        </is>
      </c>
      <c r="O66" s="2" t="inlineStr">
        <is>
          <t>pypi</t>
        </is>
      </c>
      <c r="P66" s="2" t="inlineStr">
        <is>
          <t>20261025230753</t>
        </is>
      </c>
    </row>
    <row r="67">
      <c r="A67" s="2" t="inlineStr">
        <is>
          <t>CVE-2025-6985</t>
        </is>
      </c>
      <c r="B67" s="2" t="inlineStr">
        <is>
          <t>LangChain</t>
        </is>
      </c>
      <c r="C67" s="2" t="inlineStr">
        <is>
          <t>LangChain</t>
        </is>
      </c>
      <c r="D67" s="2" t="inlineStr">
        <is>
          <t>&lt;5.0</t>
        </is>
      </c>
      <c r="E67" s="2" t="inlineStr">
        <is>
          <t>5.0</t>
        </is>
      </c>
      <c r="F67" s="2" t="inlineStr">
        <is>
          <t>HIGH</t>
        </is>
      </c>
      <c r="G67" s="2" t="inlineStr">
        <is>
          <t>7.5</t>
        </is>
      </c>
      <c r="H67" s="2" t="inlineStr">
        <is>
          <t>CVSS:3.0/AV:N/AC:L/PR:N/UI:N/S:U/C:H/I:N/A:N</t>
        </is>
      </c>
      <c r="I67" s="2" t="inlineStr">
        <is>
          <t>20251006</t>
        </is>
      </c>
      <c r="J67" s="2" t="inlineStr">
        <is>
          <t>20261019</t>
        </is>
      </c>
      <c r="K67" s="2" t="inlineStr">
        <is>
          <t>N</t>
        </is>
      </c>
      <c r="L67" s="2" t="inlineStr">
        <is>
          <t>The HTMLSectionSplitter class in langchain-text-splitters version 0.3.8 is vulnerable to XML External Entity (XXE) attacks due to unsafe XSLT parsing. This vulnerability arises because the class allows the use of arbitrary XSLT stylesheets, which are parsed using lxml.etree.parse() and lxml.etree.XSLT() without any hardening measures. In lxml versions up to 4.9.x, external entities are resolved by default, allowing attackers to read arbitrary local files or perform outbound HTTP(S) fetches. In lxml versions 5.0 and above, while entity expansion is disabled, the XSLT document() function can still read any URI unless XSLTAccessControl is applied. This vulnerability allows remote attackers to gain read-only access to any file the LangChain process can reach, including sensitive files such as SSH keys, environment files, source code, or cloud metadata. No authentication, special privileges, or user interaction are required, and the issue is exploitable in default deployments tha</t>
        </is>
      </c>
      <c r="M67" s="2" t="inlineStr">
        <is>
          <t>https://huntr.com/bounties/cf78abbb-df3b-43de-b6ee-132b73ff8331</t>
        </is>
      </c>
      <c r="N67" s="2" t="inlineStr">
        <is>
          <t>NVD</t>
        </is>
      </c>
      <c r="O67" s="2" t="inlineStr">
        <is>
          <t>pypi</t>
        </is>
      </c>
      <c r="P67" s="2" t="inlineStr">
        <is>
          <t>20261025230753</t>
        </is>
      </c>
    </row>
    <row r="68">
      <c r="A68" s="2" t="inlineStr">
        <is>
          <t>CVE-2026-65598</t>
        </is>
      </c>
      <c r="B68" s="2" t="inlineStr">
        <is>
          <t>n8n</t>
        </is>
      </c>
      <c r="C68" s="2" t="inlineStr">
        <is>
          <t>n8n</t>
        </is>
      </c>
      <c r="D68" s="2" t="inlineStr">
        <is>
          <t>&lt;1.123.64|&gt;=2.0.0,&lt;2.29.8|==2.30.0</t>
        </is>
      </c>
      <c r="E68" s="2" t="inlineStr"/>
      <c r="F68" s="2" t="inlineStr">
        <is>
          <t>HIGH</t>
        </is>
      </c>
      <c r="G68" s="2" t="inlineStr">
        <is>
          <t>7.5</t>
        </is>
      </c>
      <c r="H68" s="2" t="inlineStr">
        <is>
          <t>CVSS:3.1/AV:N/AC:H/PR:L/UI:N/S:U/C:H/I:H/A:H</t>
        </is>
      </c>
      <c r="I68" s="2" t="inlineStr">
        <is>
          <t>20260722</t>
        </is>
      </c>
      <c r="J68" s="2" t="inlineStr">
        <is>
          <t>20261024</t>
        </is>
      </c>
      <c r="K68" s="2" t="inlineStr">
        <is>
          <t>N</t>
        </is>
      </c>
      <c r="L68" s="2" t="inlineStr">
        <is>
          <t>n8n before 1.123.64, 2.29.8, and 2.30.1 contains a TOCTOU race condition in the Git node's clone operation that allows authenticated users to bypass path restrictions by swapping a directory for a symlink after the path is validated but before the clone runs. This lets an attacker plant a crafted repository in the community node directory, which n8n loads as a custom node on the next restart, executing arbitrary JavaScript on the server. Both self-hosted and cloud instances are affected.</t>
        </is>
      </c>
      <c r="M68" s="2" t="inlineStr">
        <is>
          <t>https://github.com/n8n-io/n8n/security/advisories/GHSA-g3r5-9h93-4j2c</t>
        </is>
      </c>
      <c r="N68" s="2" t="inlineStr">
        <is>
          <t>NVD</t>
        </is>
      </c>
      <c r="O68" s="2" t="inlineStr">
        <is>
          <t>npm</t>
        </is>
      </c>
      <c r="P68" s="2" t="inlineStr">
        <is>
          <t>20261025230753</t>
        </is>
      </c>
    </row>
    <row r="69">
      <c r="A69" s="2" t="inlineStr">
        <is>
          <t>CVE-2026-5757</t>
        </is>
      </c>
      <c r="B69" s="2" t="inlineStr">
        <is>
          <t>Ollama</t>
        </is>
      </c>
      <c r="C69" s="2" t="inlineStr">
        <is>
          <t>ollama</t>
        </is>
      </c>
      <c r="D69" s="2" t="inlineStr">
        <is>
          <t>&lt;=0.13.5</t>
        </is>
      </c>
      <c r="E69" s="2" t="inlineStr"/>
      <c r="F69" s="2" t="inlineStr">
        <is>
          <t>HIGH</t>
        </is>
      </c>
      <c r="G69" s="2" t="inlineStr">
        <is>
          <t>7.5</t>
        </is>
      </c>
      <c r="H69" s="2" t="inlineStr">
        <is>
          <t>CVSS:3.1/AV:N/AC:L/PR:N/UI:N/S:U/C:H/I:N/A:N</t>
        </is>
      </c>
      <c r="I69" s="2" t="inlineStr">
        <is>
          <t>20260626</t>
        </is>
      </c>
      <c r="J69" s="2" t="inlineStr">
        <is>
          <t>20261025</t>
        </is>
      </c>
      <c r="K69" s="2" t="inlineStr">
        <is>
          <t>N</t>
        </is>
      </c>
      <c r="L69" s="2" t="inlineStr">
        <is>
          <t>Unauthenticated remote information disclosure vulnerability in Ollama's model quantization engine allows an attacker to read and exfiltrate the server's heap memory, potentially leading to sensitive data exposure, further compromise, and stealthy persistence.</t>
        </is>
      </c>
      <c r="M69" s="2" t="inlineStr">
        <is>
          <t>https://kb.cert.org/vuls/id/518910</t>
        </is>
      </c>
      <c r="N69" s="2" t="inlineStr">
        <is>
          <t>NVD</t>
        </is>
      </c>
      <c r="O69" s="2" t="inlineStr">
        <is>
          <t>github</t>
        </is>
      </c>
      <c r="P69" s="2" t="inlineStr">
        <is>
          <t>20261025230753</t>
        </is>
      </c>
    </row>
    <row r="70">
      <c r="A70" s="2" t="inlineStr">
        <is>
          <t>CVE-2026-65315</t>
        </is>
      </c>
      <c r="B70" s="2" t="inlineStr">
        <is>
          <t>Ollama</t>
        </is>
      </c>
      <c r="C70" s="2" t="inlineStr">
        <is>
          <t>Ollama</t>
        </is>
      </c>
      <c r="D70" s="2" t="inlineStr">
        <is>
          <t>*</t>
        </is>
      </c>
      <c r="E70" s="2" t="inlineStr"/>
      <c r="F70" s="2" t="inlineStr">
        <is>
          <t>HIGH</t>
        </is>
      </c>
      <c r="G70" s="2" t="inlineStr">
        <is>
          <t>7.5</t>
        </is>
      </c>
      <c r="H70" s="2" t="inlineStr">
        <is>
          <t>CVSS:3.1/AV:N/AC:L/PR:N/UI:N/S:U/C:N/I:N/A:H</t>
        </is>
      </c>
      <c r="I70" s="2" t="inlineStr">
        <is>
          <t>20260721</t>
        </is>
      </c>
      <c r="J70" s="2" t="inlineStr">
        <is>
          <t>20261024</t>
        </is>
      </c>
      <c r="K70" s="2" t="inlineStr">
        <is>
          <t>N</t>
        </is>
      </c>
      <c r="L70" s="2" t="inlineStr">
        <is>
          <t>[버전범위 불명확] Ollama (HEAD f0078ae) contains an uncontrolled memory allocation vulnerability in the GGUF metadata parser that allows remote attackers to crash the server by supplying a crafted GGUF file with attacker-controlled length and count fields in string lengths, tensor dimension counts, and metadata array counts that are used as allocation sizes without validation against remaining file size. Attackers can upload a sub-1KB crafted GGUF file via the blob upload and model create or pull API endpoints to trigger unrecoverable Go runtime out-of-memory fatal errors or makeslice panics that bypass recovery middleware and crash the entire server process.</t>
        </is>
      </c>
      <c r="M70" s="2" t="inlineStr">
        <is>
          <t>https://github.com/ollama/ollama</t>
        </is>
      </c>
      <c r="N70" s="2" t="inlineStr">
        <is>
          <t>NVD</t>
        </is>
      </c>
      <c r="O70" s="2" t="inlineStr">
        <is>
          <t>github</t>
        </is>
      </c>
      <c r="P70" s="2" t="inlineStr">
        <is>
          <t>20261025230753</t>
        </is>
      </c>
    </row>
    <row r="71">
      <c r="A71" s="2" t="inlineStr">
        <is>
          <t>CVE-2026-112390</t>
        </is>
      </c>
      <c r="B71" s="2" t="inlineStr">
        <is>
          <t>Pillow</t>
        </is>
      </c>
      <c r="C71" s="2" t="inlineStr">
        <is>
          <t>python</t>
        </is>
      </c>
      <c r="D71" s="2" t="inlineStr">
        <is>
          <t>&gt;=7.2.0,&lt;13.0.0</t>
        </is>
      </c>
      <c r="E71" s="2" t="inlineStr">
        <is>
          <t>13.0.0</t>
        </is>
      </c>
      <c r="F71" s="2" t="inlineStr">
        <is>
          <t>HIGH</t>
        </is>
      </c>
      <c r="G71" s="2" t="inlineStr">
        <is>
          <t>7.5</t>
        </is>
      </c>
      <c r="H71" s="2" t="inlineStr">
        <is>
          <t>CVSS:3.1/AV:N/AC:L/PR:N/UI:N/S:U/C:N/I:N/A:H</t>
        </is>
      </c>
      <c r="I71" s="2" t="inlineStr">
        <is>
          <t>20261019</t>
        </is>
      </c>
      <c r="J71" s="2" t="inlineStr">
        <is>
          <t>20261023</t>
        </is>
      </c>
      <c r="K71" s="2" t="inlineStr">
        <is>
          <t>N</t>
        </is>
      </c>
      <c r="L71" s="2" t="inlineStr">
        <is>
          <t>Pillow is a Python imaging library. From 7.2.0 until 13.0.0, Pillow can enter an infinite loop while determining the frame count of a MIC image. MicImageFile inherits TIFF frame traversal, but MicImageFile.tell reports the OLE stream index and its seek() resets TIFF frame state, so an embedded TIFF with at least three IFDs never advances. When an application with olefile installed reads n_frames or saves all frames from a crafted MIC file, the non-advancing traversal can hold a worker at full CPU indefinitely. This issue is fixed in version 13.0.0.</t>
        </is>
      </c>
      <c r="M71" s="2" t="inlineStr">
        <is>
          <t>https://github.com/python-pillow/Pillow/commit/26cb3ed061173b817b9ee4b6f507cb0e1e293218</t>
        </is>
      </c>
      <c r="N71" s="2" t="inlineStr">
        <is>
          <t>NVD+OSV+GHSA</t>
        </is>
      </c>
      <c r="O71" s="2" t="inlineStr">
        <is>
          <t>pypi</t>
        </is>
      </c>
      <c r="P71" s="2" t="inlineStr">
        <is>
          <t>20261025230840</t>
        </is>
      </c>
    </row>
    <row r="72">
      <c r="A72" s="2" t="inlineStr">
        <is>
          <t>CVE-2026-112391</t>
        </is>
      </c>
      <c r="B72" s="2" t="inlineStr">
        <is>
          <t>Pillow</t>
        </is>
      </c>
      <c r="C72" s="2" t="inlineStr">
        <is>
          <t>python</t>
        </is>
      </c>
      <c r="D72" s="2" t="inlineStr">
        <is>
          <t>&gt;=5.1.0,&lt;13.0.0</t>
        </is>
      </c>
      <c r="E72" s="2" t="inlineStr">
        <is>
          <t>13.0.0</t>
        </is>
      </c>
      <c r="F72" s="2" t="inlineStr">
        <is>
          <t>HIGH</t>
        </is>
      </c>
      <c r="G72" s="2" t="inlineStr">
        <is>
          <t>7.5</t>
        </is>
      </c>
      <c r="H72" s="2" t="inlineStr">
        <is>
          <t>CVSS:3.1/AV:N/AC:L/PR:N/UI:N/S:U/C:N/I:N/A:H</t>
        </is>
      </c>
      <c r="I72" s="2" t="inlineStr">
        <is>
          <t>20261019</t>
        </is>
      </c>
      <c r="J72" s="2" t="inlineStr">
        <is>
          <t>20261023</t>
        </is>
      </c>
      <c r="K72" s="2" t="inlineStr">
        <is>
          <t>N</t>
        </is>
      </c>
      <c r="L72" s="2" t="inlineStr">
        <is>
          <t>Pillow is a Python imaging library. From 5.1.0 until 13.0.0, Pillow's PdfParser.get_value() can recurse without a limit while reading nested PDF objects. The parser follows attacker-controlled arrays and dictionaries when an existing PDF is opened for append. An attacker can provide a deeply nested PDF to an application that saves an image with PDF append enabled. This can raise an uncaught RecursionError or terminate the worker, causing denial of service. This issue is fixed in version 13.0.0.</t>
        </is>
      </c>
      <c r="M72" s="2" t="inlineStr">
        <is>
          <t>https://github.com/python-pillow/Pillow/commit/94cb11c44ff7345414da17ebfea1598a529ad9cd</t>
        </is>
      </c>
      <c r="N72" s="2" t="inlineStr">
        <is>
          <t>NVD+OSV+GHSA</t>
        </is>
      </c>
      <c r="O72" s="2" t="inlineStr">
        <is>
          <t>pypi</t>
        </is>
      </c>
      <c r="P72" s="2" t="inlineStr">
        <is>
          <t>20261025230840</t>
        </is>
      </c>
    </row>
    <row r="73">
      <c r="A73" s="2" t="inlineStr">
        <is>
          <t>CVE-2026-54059</t>
        </is>
      </c>
      <c r="B73" s="2" t="inlineStr">
        <is>
          <t>Pillow</t>
        </is>
      </c>
      <c r="C73" s="2" t="inlineStr">
        <is>
          <t>python</t>
        </is>
      </c>
      <c r="D73" s="2" t="inlineStr">
        <is>
          <t>&lt;12.3.0</t>
        </is>
      </c>
      <c r="E73" s="2" t="inlineStr">
        <is>
          <t>12.3.0</t>
        </is>
      </c>
      <c r="F73" s="2" t="inlineStr">
        <is>
          <t>HIGH</t>
        </is>
      </c>
      <c r="G73" s="2" t="inlineStr">
        <is>
          <t>7.5</t>
        </is>
      </c>
      <c r="H73" s="2" t="inlineStr">
        <is>
          <t>CVSS:3.1/AV:N/AC:L/PR:N/UI:N/S:U/C:N/I:N/A:H</t>
        </is>
      </c>
      <c r="I73" s="2" t="inlineStr">
        <is>
          <t>20260706</t>
        </is>
      </c>
      <c r="J73" s="2" t="inlineStr">
        <is>
          <t>20261025</t>
        </is>
      </c>
      <c r="K73" s="2" t="inlineStr">
        <is>
          <t>N</t>
        </is>
      </c>
      <c r="L73" s="2" t="inlineStr">
        <is>
          <t>Pillow is a Python imaging library. Prior to 12.3.0, PIL/PcfFontFile.py _load_bitmaps() read glyph dimensions from the PCF METRICS section and passed them directly to Image.frombytes() without calling Image._decompression_bomb_check(), allowing crafted PCF font data to cause excessive memory allocation. This issue is fixed in version 12.3.0.</t>
        </is>
      </c>
      <c r="M73" s="2" t="inlineStr">
        <is>
          <t>https://github.com/python-pillow/Pillow/commit/0a263e6264aa5399988d9acd3bbfbca2ca3ec77d</t>
        </is>
      </c>
      <c r="N73" s="2" t="inlineStr">
        <is>
          <t>NVD</t>
        </is>
      </c>
      <c r="O73" s="2" t="inlineStr">
        <is>
          <t>pypi</t>
        </is>
      </c>
      <c r="P73" s="2" t="inlineStr">
        <is>
          <t>20261025230753</t>
        </is>
      </c>
    </row>
    <row r="74">
      <c r="A74" s="2" t="inlineStr">
        <is>
          <t>CVE-2026-54060</t>
        </is>
      </c>
      <c r="B74" s="2" t="inlineStr">
        <is>
          <t>Pillow</t>
        </is>
      </c>
      <c r="C74" s="2" t="inlineStr">
        <is>
          <t>python</t>
        </is>
      </c>
      <c r="D74" s="2" t="inlineStr">
        <is>
          <t>&lt;12.3.0</t>
        </is>
      </c>
      <c r="E74" s="2" t="inlineStr">
        <is>
          <t>12.3.0</t>
        </is>
      </c>
      <c r="F74" s="2" t="inlineStr">
        <is>
          <t>HIGH</t>
        </is>
      </c>
      <c r="G74" s="2" t="inlineStr">
        <is>
          <t>7.5</t>
        </is>
      </c>
      <c r="H74" s="2" t="inlineStr">
        <is>
          <t>CVSS:3.1/AV:N/AC:L/PR:N/UI:N/S:U/C:N/I:N/A:H</t>
        </is>
      </c>
      <c r="I74" s="2" t="inlineStr">
        <is>
          <t>20260706</t>
        </is>
      </c>
      <c r="J74" s="2" t="inlineStr">
        <is>
          <t>20261025</t>
        </is>
      </c>
      <c r="K74" s="2" t="inlineStr">
        <is>
          <t>N</t>
        </is>
      </c>
      <c r="L74" s="2" t="inlineStr">
        <is>
          <t>Pillow is a Python imaging library. Prior to 12.3.0, PIL/FontFile.py FontFile.compile() assembled per-glyph images into a combined bitmap with Image.new("1", (xsize, ysize)) without calling Image._decompression_bomb_check(), allowing a font to trigger excessive allocation during conversion or saving. This issue is fixed in version 12.3.0.</t>
        </is>
      </c>
      <c r="M74" s="2" t="inlineStr">
        <is>
          <t>https://github.com/python-pillow/Pillow/commit/0a263e6264aa5399988d9acd3bbfbca2ca3ec77d</t>
        </is>
      </c>
      <c r="N74" s="2" t="inlineStr">
        <is>
          <t>NVD</t>
        </is>
      </c>
      <c r="O74" s="2" t="inlineStr">
        <is>
          <t>pypi</t>
        </is>
      </c>
      <c r="P74" s="2" t="inlineStr">
        <is>
          <t>20261025230753</t>
        </is>
      </c>
    </row>
    <row r="75">
      <c r="A75" s="2" t="inlineStr">
        <is>
          <t>CVE-2026-55379</t>
        </is>
      </c>
      <c r="B75" s="2" t="inlineStr">
        <is>
          <t>Pillow</t>
        </is>
      </c>
      <c r="C75" s="2" t="inlineStr">
        <is>
          <t>python</t>
        </is>
      </c>
      <c r="D75" s="2" t="inlineStr">
        <is>
          <t>&lt;12.3.0</t>
        </is>
      </c>
      <c r="E75" s="2" t="inlineStr">
        <is>
          <t>12.3.0</t>
        </is>
      </c>
      <c r="F75" s="2" t="inlineStr">
        <is>
          <t>HIGH</t>
        </is>
      </c>
      <c r="G75" s="2" t="inlineStr">
        <is>
          <t>7.5</t>
        </is>
      </c>
      <c r="H75" s="2" t="inlineStr">
        <is>
          <t>CVSS:3.1/AV:N/AC:L/PR:N/UI:N/S:U/C:N/I:N/A:H</t>
        </is>
      </c>
      <c r="I75" s="2" t="inlineStr">
        <is>
          <t>20260706</t>
        </is>
      </c>
      <c r="J75" s="2" t="inlineStr">
        <is>
          <t>20261025</t>
        </is>
      </c>
      <c r="K75" s="2" t="inlineStr">
        <is>
          <t>N</t>
        </is>
      </c>
      <c r="L75" s="2" t="inlineStr">
        <is>
          <t>Pillow is a Python imaging library. Prior to 12.3.0, PIL/BdfFontFile.py bdf_char() read the BBX width and height field from a BDF font file and passed attacker-controlled dimensions to Image.new() without calling Image._decompression_bomb_check(), bypassing Pillow's documented decompression bomb protection and allowing excessive memory allocation. This issue is fixed in version 12.3.0.</t>
        </is>
      </c>
      <c r="M75" s="2" t="inlineStr">
        <is>
          <t>https://github.com/python-pillow/Pillow/commit/0a263e6264aa5399988d9acd3bbfbca2ca3ec77d</t>
        </is>
      </c>
      <c r="N75" s="2" t="inlineStr">
        <is>
          <t>NVD</t>
        </is>
      </c>
      <c r="O75" s="2" t="inlineStr">
        <is>
          <t>pypi</t>
        </is>
      </c>
      <c r="P75" s="2" t="inlineStr">
        <is>
          <t>20261025230753</t>
        </is>
      </c>
    </row>
    <row r="76">
      <c r="A76" s="2" t="inlineStr">
        <is>
          <t>CVE-2026-55380</t>
        </is>
      </c>
      <c r="B76" s="2" t="inlineStr">
        <is>
          <t>Pillow</t>
        </is>
      </c>
      <c r="C76" s="2" t="inlineStr">
        <is>
          <t>python</t>
        </is>
      </c>
      <c r="D76" s="2" t="inlineStr">
        <is>
          <t>&lt;12.3.0</t>
        </is>
      </c>
      <c r="E76" s="2" t="inlineStr">
        <is>
          <t>12.3.0</t>
        </is>
      </c>
      <c r="F76" s="2" t="inlineStr">
        <is>
          <t>HIGH</t>
        </is>
      </c>
      <c r="G76" s="2" t="inlineStr">
        <is>
          <t>7.5</t>
        </is>
      </c>
      <c r="H76" s="2" t="inlineStr">
        <is>
          <t>CVSS:3.1/AV:N/AC:L/PR:N/UI:N/S:U/C:N/I:N/A:H</t>
        </is>
      </c>
      <c r="I76" s="2" t="inlineStr">
        <is>
          <t>20260706</t>
        </is>
      </c>
      <c r="J76" s="2" t="inlineStr">
        <is>
          <t>20261025</t>
        </is>
      </c>
      <c r="K76" s="2" t="inlineStr">
        <is>
          <t>N</t>
        </is>
      </c>
      <c r="L76" s="2" t="inlineStr">
        <is>
          <t>Pillow is a Python imaging library. Prior to 12.3.0, PIL/GdImageFile.py GdImageFile._open() read image dimensions from the GD 2.x header and stored them in self._size without calling Image._decompression_bomb_check(), allowing a crafted .gd file to trigger excessive C-heap allocation when loaded. This issue is fixed in version 12.3.0.</t>
        </is>
      </c>
      <c r="M76" s="2" t="inlineStr">
        <is>
          <t>https://github.com/python-pillow/Pillow/commit/f39b0ae6624eb2d7c5c5d651d9bb5fdbd96a8675</t>
        </is>
      </c>
      <c r="N76" s="2" t="inlineStr">
        <is>
          <t>NVD</t>
        </is>
      </c>
      <c r="O76" s="2" t="inlineStr">
        <is>
          <t>pypi</t>
        </is>
      </c>
      <c r="P76" s="2" t="inlineStr">
        <is>
          <t>20261025230753</t>
        </is>
      </c>
    </row>
    <row r="77">
      <c r="A77" s="2" t="inlineStr">
        <is>
          <t>CVE-2026-59199</t>
        </is>
      </c>
      <c r="B77" s="2" t="inlineStr">
        <is>
          <t>Pillow</t>
        </is>
      </c>
      <c r="C77" s="2" t="inlineStr">
        <is>
          <t>python</t>
        </is>
      </c>
      <c r="D77" s="2" t="inlineStr">
        <is>
          <t>&lt;12.3.0</t>
        </is>
      </c>
      <c r="E77" s="2" t="inlineStr">
        <is>
          <t>12.3.0</t>
        </is>
      </c>
      <c r="F77" s="2" t="inlineStr">
        <is>
          <t>HIGH</t>
        </is>
      </c>
      <c r="G77" s="2" t="inlineStr">
        <is>
          <t>7.5</t>
        </is>
      </c>
      <c r="H77" s="2" t="inlineStr">
        <is>
          <t>CVSS:3.1/AV:N/AC:L/PR:N/UI:N/S:U/C:N/I:N/A:H</t>
        </is>
      </c>
      <c r="I77" s="2" t="inlineStr">
        <is>
          <t>20260714</t>
        </is>
      </c>
      <c r="J77" s="2" t="inlineStr">
        <is>
          <t>20261024</t>
        </is>
      </c>
      <c r="K77" s="2" t="inlineStr">
        <is>
          <t>N</t>
        </is>
      </c>
      <c r="L77" s="2" t="inlineStr">
        <is>
          <t>Pillow is a Python imaging library. Prior to 12.3.0, Pillow public image coordinate APIs can trigger a native heap out-of-bounds write when given coordinates near the signed 32-bit integer limits in Image.paste(), Image.crop(), or Image.alpha_composite(). This issue is fixed in version 12.3.0.</t>
        </is>
      </c>
      <c r="M77" s="2" t="inlineStr">
        <is>
          <t>https://github.com/python-pillow/Pillow/commit/ceefc348eb3c3844c7f9796ef2cc3a7dd5fbba7b</t>
        </is>
      </c>
      <c r="N77" s="2" t="inlineStr">
        <is>
          <t>NVD</t>
        </is>
      </c>
      <c r="O77" s="2" t="inlineStr">
        <is>
          <t>pypi</t>
        </is>
      </c>
      <c r="P77" s="2" t="inlineStr">
        <is>
          <t>20261025230753</t>
        </is>
      </c>
    </row>
    <row r="78">
      <c r="A78" s="2" t="inlineStr">
        <is>
          <t>CVE-2026-59200</t>
        </is>
      </c>
      <c r="B78" s="2" t="inlineStr">
        <is>
          <t>Pillow</t>
        </is>
      </c>
      <c r="C78" s="2" t="inlineStr">
        <is>
          <t>python</t>
        </is>
      </c>
      <c r="D78" s="2" t="inlineStr">
        <is>
          <t>&gt;=5.1.0,&lt;12.3.0</t>
        </is>
      </c>
      <c r="E78" s="2" t="inlineStr">
        <is>
          <t>12.3.0</t>
        </is>
      </c>
      <c r="F78" s="2" t="inlineStr">
        <is>
          <t>HIGH</t>
        </is>
      </c>
      <c r="G78" s="2" t="inlineStr">
        <is>
          <t>7.5</t>
        </is>
      </c>
      <c r="H78" s="2" t="inlineStr">
        <is>
          <t>CVSS:3.1/AV:N/AC:L/PR:N/UI:N/S:U/C:N/I:N/A:H</t>
        </is>
      </c>
      <c r="I78" s="2" t="inlineStr">
        <is>
          <t>20260714</t>
        </is>
      </c>
      <c r="J78" s="2" t="inlineStr">
        <is>
          <t>20261024</t>
        </is>
      </c>
      <c r="K78" s="2" t="inlineStr">
        <is>
          <t>N</t>
        </is>
      </c>
      <c r="L78" s="2" t="inlineStr">
        <is>
          <t>Pillow is a Python imaging library. From 5.1.0 until 12.3.0, PdfParser.PdfStream.decode() in PIL/PdfParser.py calls zlib.decompress() with bufsize set to the PDF stream Length field without bounding the decompressed output size, allowing a crafted FlateDecode PDF stream to exhaust memory from a small file. This issue is fixed in version 12.3.0.</t>
        </is>
      </c>
      <c r="M78" s="2" t="inlineStr">
        <is>
          <t>https://github.com/python-pillow/Pillow/commit/f7a31ea75e460e108c37126da1f47812f21f6b09</t>
        </is>
      </c>
      <c r="N78" s="2" t="inlineStr">
        <is>
          <t>NVD</t>
        </is>
      </c>
      <c r="O78" s="2" t="inlineStr">
        <is>
          <t>pypi</t>
        </is>
      </c>
      <c r="P78" s="2" t="inlineStr">
        <is>
          <t>20261025230753</t>
        </is>
      </c>
    </row>
    <row r="79">
      <c r="A79" s="2" t="inlineStr">
        <is>
          <t>CVE-2026-59204</t>
        </is>
      </c>
      <c r="B79" s="2" t="inlineStr">
        <is>
          <t>Pillow</t>
        </is>
      </c>
      <c r="C79" s="2" t="inlineStr">
        <is>
          <t>python</t>
        </is>
      </c>
      <c r="D79" s="2" t="inlineStr">
        <is>
          <t>&gt;=8.2.0,&lt;12.3.0</t>
        </is>
      </c>
      <c r="E79" s="2" t="inlineStr">
        <is>
          <t>12.3.0</t>
        </is>
      </c>
      <c r="F79" s="2" t="inlineStr">
        <is>
          <t>HIGH</t>
        </is>
      </c>
      <c r="G79" s="2" t="inlineStr">
        <is>
          <t>7.5</t>
        </is>
      </c>
      <c r="H79" s="2" t="inlineStr">
        <is>
          <t>CVSS:3.1/AV:N/AC:L/PR:N/UI:N/S:U/C:N/I:N/A:H</t>
        </is>
      </c>
      <c r="I79" s="2" t="inlineStr">
        <is>
          <t>20260714</t>
        </is>
      </c>
      <c r="J79" s="2" t="inlineStr">
        <is>
          <t>20261024</t>
        </is>
      </c>
      <c r="K79" s="2" t="inlineStr">
        <is>
          <t>N</t>
        </is>
      </c>
      <c r="L79" s="2" t="inlineStr">
        <is>
          <t>Pillow is a Python imaging library. From 8.2.0 through 12.2.0, src/libImaging/Jpeg2KDecode.c accumulates total_component_width across every tile in a JPEG2000 image instead of recomputing it per tile, allowing a crafted tiled JPEG2000 file to force substantially higher transient memory usage and trigger out-of-memory failures during decoding. This issue is fixed in version 12.3.0.</t>
        </is>
      </c>
      <c r="M79" s="2" t="inlineStr">
        <is>
          <t>https://github.com/python-pillow/Pillow/commit/13ada41172142f2fd9f0906f615a00ea623a11ca</t>
        </is>
      </c>
      <c r="N79" s="2" t="inlineStr">
        <is>
          <t>NVD</t>
        </is>
      </c>
      <c r="O79" s="2" t="inlineStr">
        <is>
          <t>pypi</t>
        </is>
      </c>
      <c r="P79" s="2" t="inlineStr">
        <is>
          <t>20261025230753</t>
        </is>
      </c>
    </row>
    <row r="80">
      <c r="A80" s="2" t="inlineStr">
        <is>
          <t>CVE-2026-59205</t>
        </is>
      </c>
      <c r="B80" s="2" t="inlineStr">
        <is>
          <t>Pillow</t>
        </is>
      </c>
      <c r="C80" s="2" t="inlineStr">
        <is>
          <t>python</t>
        </is>
      </c>
      <c r="D80" s="2" t="inlineStr">
        <is>
          <t>&lt;12.3.0</t>
        </is>
      </c>
      <c r="E80" s="2" t="inlineStr">
        <is>
          <t>12.3.0</t>
        </is>
      </c>
      <c r="F80" s="2" t="inlineStr">
        <is>
          <t>HIGH</t>
        </is>
      </c>
      <c r="G80" s="2" t="inlineStr">
        <is>
          <t>7.5</t>
        </is>
      </c>
      <c r="H80" s="2" t="inlineStr">
        <is>
          <t>CVSS:3.1/AV:N/AC:L/PR:N/UI:N/S:U/C:N/I:N/A:H</t>
        </is>
      </c>
      <c r="I80" s="2" t="inlineStr">
        <is>
          <t>20260714</t>
        </is>
      </c>
      <c r="J80" s="2" t="inlineStr">
        <is>
          <t>20261024</t>
        </is>
      </c>
      <c r="K80" s="2" t="inlineStr">
        <is>
          <t>N</t>
        </is>
      </c>
      <c r="L80" s="2" t="inlineStr">
        <is>
          <t>Pillow is a Python imaging library. Prior to 12.3.0, Pillow's ImageCms.ImageCmsTransform.apply(im, imOut) API can trigger controlled native heap corruption when the caller supplies an output image whose mode does not match the transform's declared output mode. This issue is fixed in version 12.3.0.</t>
        </is>
      </c>
      <c r="M80" s="2" t="inlineStr">
        <is>
          <t>https://github.com/python-pillow/Pillow/commit/a9ffc42bedf4fc0a7ef8d6486e7f9e81e3397721</t>
        </is>
      </c>
      <c r="N80" s="2" t="inlineStr">
        <is>
          <t>NVD</t>
        </is>
      </c>
      <c r="O80" s="2" t="inlineStr">
        <is>
          <t>pypi</t>
        </is>
      </c>
      <c r="P80" s="2" t="inlineStr">
        <is>
          <t>20261025230753</t>
        </is>
      </c>
    </row>
    <row r="81">
      <c r="A81" s="2" t="inlineStr">
        <is>
          <t>CVE-2026-112082</t>
        </is>
      </c>
      <c r="B81" s="2" t="inlineStr">
        <is>
          <t>SGLang</t>
        </is>
      </c>
      <c r="C81" s="2" t="inlineStr">
        <is>
          <t>SGLang Project</t>
        </is>
      </c>
      <c r="D81" s="2" t="inlineStr">
        <is>
          <t>&lt;=0.5.19</t>
        </is>
      </c>
      <c r="E81" s="2" t="inlineStr"/>
      <c r="F81" s="2" t="inlineStr">
        <is>
          <t>HIGH</t>
        </is>
      </c>
      <c r="G81" s="2" t="inlineStr">
        <is>
          <t>7.5</t>
        </is>
      </c>
      <c r="H81" s="2" t="inlineStr">
        <is>
          <t>CVSS:3.1/AV:N/AC:L/PR:N/UI:N/S:U/C:N/I:N/A:H</t>
        </is>
      </c>
      <c r="I81" s="2" t="inlineStr">
        <is>
          <t>20261019</t>
        </is>
      </c>
      <c r="J81" s="2" t="inlineStr">
        <is>
          <t>20261019</t>
        </is>
      </c>
      <c r="K81" s="2" t="inlineStr">
        <is>
          <t>N</t>
        </is>
      </c>
      <c r="L81" s="2" t="inlineStr">
        <is>
          <t>A vulnerability was identified in sgl-project SGLang up to 0.5.19. This impacts the function Scheduler.expert_distribution_handle of the file python/sglang/srt/eplb/expert_distribution.py of the component Expert-Distribution Recording Endpoint. Such manipulation leads to denial of service. It is possible to launch the attack remotely. The exploit is publicly available and might be used. The pull request to fix this issue awaits acceptance.</t>
        </is>
      </c>
      <c r="M81" s="2" t="inlineStr">
        <is>
          <t>https://github.com/sgl-project/sglang/</t>
        </is>
      </c>
      <c r="N81" s="2" t="inlineStr">
        <is>
          <t>NVD</t>
        </is>
      </c>
      <c r="O81" s="2" t="inlineStr">
        <is>
          <t>pypi</t>
        </is>
      </c>
      <c r="P81" s="2" t="inlineStr">
        <is>
          <t>20261025230753</t>
        </is>
      </c>
    </row>
    <row r="82">
      <c r="A82" s="2" t="inlineStr">
        <is>
          <t>CVE-2026-24264</t>
        </is>
      </c>
      <c r="B82" s="2" t="inlineStr">
        <is>
          <t>Triton Inference Server</t>
        </is>
      </c>
      <c r="C82" s="2" t="inlineStr">
        <is>
          <t>nvidia</t>
        </is>
      </c>
      <c r="D82" s="2" t="inlineStr">
        <is>
          <t>&lt;=26.03</t>
        </is>
      </c>
      <c r="E82" s="2" t="inlineStr"/>
      <c r="F82" s="2" t="inlineStr">
        <is>
          <t>HIGH</t>
        </is>
      </c>
      <c r="G82" s="2" t="inlineStr">
        <is>
          <t>7.5</t>
        </is>
      </c>
      <c r="H82" s="2" t="inlineStr">
        <is>
          <t>CVSS:3.1/AV:N/AC:L/PR:N/UI:N/S:U/C:N/I:N/A:H</t>
        </is>
      </c>
      <c r="I82" s="2" t="inlineStr">
        <is>
          <t>20260701</t>
        </is>
      </c>
      <c r="J82" s="2" t="inlineStr">
        <is>
          <t>20261025</t>
        </is>
      </c>
      <c r="K82" s="2" t="inlineStr">
        <is>
          <t>N</t>
        </is>
      </c>
      <c r="L82" s="2" t="inlineStr">
        <is>
          <t>NVIDIA Triton Inference Server for Linux contains a vulnerability where an attacker can cause improper handling of highly compressed data. A successful exploit of this vulnerability might lead to denial of service.</t>
        </is>
      </c>
      <c r="M82" s="2" t="inlineStr">
        <is>
          <t>https://github.com/NVIDIA/product-security/tree/main/2026/5848</t>
        </is>
      </c>
      <c r="N82" s="2" t="inlineStr">
        <is>
          <t>NVD</t>
        </is>
      </c>
      <c r="O82" s="2" t="inlineStr">
        <is>
          <t>github</t>
        </is>
      </c>
      <c r="P82" s="2" t="inlineStr">
        <is>
          <t>20261025230753</t>
        </is>
      </c>
    </row>
    <row r="83">
      <c r="A83" s="2" t="inlineStr">
        <is>
          <t>CVE-2026-47477</t>
        </is>
      </c>
      <c r="B83" s="2" t="inlineStr">
        <is>
          <t>Triton Inference Server</t>
        </is>
      </c>
      <c r="C83" s="2" t="inlineStr">
        <is>
          <t>NVIDIA</t>
        </is>
      </c>
      <c r="D83" s="2" t="inlineStr">
        <is>
          <t>*</t>
        </is>
      </c>
      <c r="E83" s="2" t="inlineStr"/>
      <c r="F83" s="2" t="inlineStr">
        <is>
          <t>HIGH</t>
        </is>
      </c>
      <c r="G83" s="2" t="inlineStr">
        <is>
          <t>7.5</t>
        </is>
      </c>
      <c r="H83" s="2" t="inlineStr">
        <is>
          <t>CVSS:3.1/AV:N/AC:L/PR:N/UI:N/S:U/C:N/I:N/A:H</t>
        </is>
      </c>
      <c r="I83" s="2" t="inlineStr">
        <is>
          <t>20260714</t>
        </is>
      </c>
      <c r="J83" s="2" t="inlineStr">
        <is>
          <t>20261024</t>
        </is>
      </c>
      <c r="K83" s="2" t="inlineStr">
        <is>
          <t>N</t>
        </is>
      </c>
      <c r="L83" s="2" t="inlineStr">
        <is>
          <t>[버전범위 불명확] NVIDIA Triton Inference Server for Linux contains a vulnerability where an attacker can cause a stack-based buffer overflow. A successful exploit of this vulnerability might lead to denial of service.</t>
        </is>
      </c>
      <c r="M83" s="2" t="inlineStr">
        <is>
          <t>https://nvd.nist.gov/vuln/detail/CVE-2026-47477</t>
        </is>
      </c>
      <c r="N83" s="2" t="inlineStr">
        <is>
          <t>NVD</t>
        </is>
      </c>
      <c r="O83" s="2" t="inlineStr">
        <is>
          <t>github</t>
        </is>
      </c>
      <c r="P83" s="2" t="inlineStr">
        <is>
          <t>20261025230753</t>
        </is>
      </c>
    </row>
    <row r="84">
      <c r="A84" s="2" t="inlineStr">
        <is>
          <t>CVE-2026-47478</t>
        </is>
      </c>
      <c r="B84" s="2" t="inlineStr">
        <is>
          <t>Triton Inference Server</t>
        </is>
      </c>
      <c r="C84" s="2" t="inlineStr">
        <is>
          <t>NVIDIA</t>
        </is>
      </c>
      <c r="D84" s="2" t="inlineStr">
        <is>
          <t>*</t>
        </is>
      </c>
      <c r="E84" s="2" t="inlineStr"/>
      <c r="F84" s="2" t="inlineStr">
        <is>
          <t>HIGH</t>
        </is>
      </c>
      <c r="G84" s="2" t="inlineStr">
        <is>
          <t>7.5</t>
        </is>
      </c>
      <c r="H84" s="2" t="inlineStr">
        <is>
          <t>CVSS:3.1/AV:N/AC:L/PR:N/UI:N/S:U/C:N/I:N/A:H</t>
        </is>
      </c>
      <c r="I84" s="2" t="inlineStr">
        <is>
          <t>20260714</t>
        </is>
      </c>
      <c r="J84" s="2" t="inlineStr">
        <is>
          <t>20261024</t>
        </is>
      </c>
      <c r="K84" s="2" t="inlineStr">
        <is>
          <t>N</t>
        </is>
      </c>
      <c r="L84" s="2" t="inlineStr">
        <is>
          <t>[버전범위 불명확] NVIDIA Triton Inference Server for Linux contains a vulnerability where an attacker can cause the use of an expired file descriptor. A successful exploit of this vulnerability might lead to denial of service.</t>
        </is>
      </c>
      <c r="M84" s="2" t="inlineStr">
        <is>
          <t>https://nvd.nist.gov/vuln/detail/CVE-2026-47478</t>
        </is>
      </c>
      <c r="N84" s="2" t="inlineStr">
        <is>
          <t>NVD</t>
        </is>
      </c>
      <c r="O84" s="2" t="inlineStr">
        <is>
          <t>github</t>
        </is>
      </c>
      <c r="P84" s="2" t="inlineStr">
        <is>
          <t>20261025230753</t>
        </is>
      </c>
    </row>
    <row r="85">
      <c r="A85" s="2" t="inlineStr">
        <is>
          <t>CVE-2026-47479</t>
        </is>
      </c>
      <c r="B85" s="2" t="inlineStr">
        <is>
          <t>Triton Inference Server</t>
        </is>
      </c>
      <c r="C85" s="2" t="inlineStr">
        <is>
          <t>NVIDIA</t>
        </is>
      </c>
      <c r="D85" s="2" t="inlineStr">
        <is>
          <t>*</t>
        </is>
      </c>
      <c r="E85" s="2" t="inlineStr"/>
      <c r="F85" s="2" t="inlineStr">
        <is>
          <t>HIGH</t>
        </is>
      </c>
      <c r="G85" s="2" t="inlineStr">
        <is>
          <t>7.5</t>
        </is>
      </c>
      <c r="H85" s="2" t="inlineStr">
        <is>
          <t>CVSS:3.1/AV:N/AC:L/PR:N/UI:N/S:U/C:N/I:N/A:H</t>
        </is>
      </c>
      <c r="I85" s="2" t="inlineStr">
        <is>
          <t>20260714</t>
        </is>
      </c>
      <c r="J85" s="2" t="inlineStr">
        <is>
          <t>20261024</t>
        </is>
      </c>
      <c r="K85" s="2" t="inlineStr">
        <is>
          <t>N</t>
        </is>
      </c>
      <c r="L85" s="2" t="inlineStr">
        <is>
          <t>[버전범위 불명확] NVIDIA Triton Inference Server for Linux contains a vulnerability where an attacker can cause uncontrolled resource consumption. A successful exploit of this vulnerability might lead to denial of service.</t>
        </is>
      </c>
      <c r="M85" s="2" t="inlineStr">
        <is>
          <t>https://nvd.nist.gov/vuln/detail/CVE-2026-47479</t>
        </is>
      </c>
      <c r="N85" s="2" t="inlineStr">
        <is>
          <t>NVD</t>
        </is>
      </c>
      <c r="O85" s="2" t="inlineStr">
        <is>
          <t>github</t>
        </is>
      </c>
      <c r="P85" s="2" t="inlineStr">
        <is>
          <t>20261025230753</t>
        </is>
      </c>
    </row>
    <row r="86">
      <c r="A86" s="2" t="inlineStr">
        <is>
          <t>CVE-2026-47480</t>
        </is>
      </c>
      <c r="B86" s="2" t="inlineStr">
        <is>
          <t>Triton Inference Server</t>
        </is>
      </c>
      <c r="C86" s="2" t="inlineStr">
        <is>
          <t>NVIDIA</t>
        </is>
      </c>
      <c r="D86" s="2" t="inlineStr">
        <is>
          <t>*</t>
        </is>
      </c>
      <c r="E86" s="2" t="inlineStr"/>
      <c r="F86" s="2" t="inlineStr">
        <is>
          <t>HIGH</t>
        </is>
      </c>
      <c r="G86" s="2" t="inlineStr">
        <is>
          <t>7.5</t>
        </is>
      </c>
      <c r="H86" s="2" t="inlineStr">
        <is>
          <t>CVSS:3.1/AV:N/AC:L/PR:N/UI:N/S:U/C:N/I:N/A:H</t>
        </is>
      </c>
      <c r="I86" s="2" t="inlineStr">
        <is>
          <t>20260714</t>
        </is>
      </c>
      <c r="J86" s="2" t="inlineStr">
        <is>
          <t>20261024</t>
        </is>
      </c>
      <c r="K86" s="2" t="inlineStr">
        <is>
          <t>N</t>
        </is>
      </c>
      <c r="L86" s="2" t="inlineStr">
        <is>
          <t>[버전범위 불명확] NVIDIA Triton Inference Server for Linux contains a vulnerability where an attacker can cause an uncaught exception. A successful exploit of this vulnerability might lead to denial of service.</t>
        </is>
      </c>
      <c r="M86" s="2" t="inlineStr">
        <is>
          <t>https://nvd.nist.gov/vuln/detail/CVE-2026-47480</t>
        </is>
      </c>
      <c r="N86" s="2" t="inlineStr">
        <is>
          <t>NVD</t>
        </is>
      </c>
      <c r="O86" s="2" t="inlineStr">
        <is>
          <t>github</t>
        </is>
      </c>
      <c r="P86" s="2" t="inlineStr">
        <is>
          <t>20261025230753</t>
        </is>
      </c>
    </row>
    <row r="87">
      <c r="A87" s="2" t="inlineStr">
        <is>
          <t>CVE-2026-47482</t>
        </is>
      </c>
      <c r="B87" s="2" t="inlineStr">
        <is>
          <t>Triton Inference Server</t>
        </is>
      </c>
      <c r="C87" s="2" t="inlineStr">
        <is>
          <t>NVIDIA</t>
        </is>
      </c>
      <c r="D87" s="2" t="inlineStr">
        <is>
          <t>*</t>
        </is>
      </c>
      <c r="E87" s="2" t="inlineStr"/>
      <c r="F87" s="2" t="inlineStr">
        <is>
          <t>HIGH</t>
        </is>
      </c>
      <c r="G87" s="2" t="inlineStr">
        <is>
          <t>7.5</t>
        </is>
      </c>
      <c r="H87" s="2" t="inlineStr">
        <is>
          <t>CVSS:3.1/AV:N/AC:L/PR:N/UI:N/S:U/C:N/I:N/A:H</t>
        </is>
      </c>
      <c r="I87" s="2" t="inlineStr">
        <is>
          <t>20260714</t>
        </is>
      </c>
      <c r="J87" s="2" t="inlineStr">
        <is>
          <t>20261024</t>
        </is>
      </c>
      <c r="K87" s="2" t="inlineStr">
        <is>
          <t>N</t>
        </is>
      </c>
      <c r="L87" s="2" t="inlineStr">
        <is>
          <t>[버전범위 불명확] NVIDIA Triton Inference Server for Linux contains a vulnerability where an attacker can cause missing release of memory after effective lifetime. A successful exploit of this vulnerability might lead to denial of service.</t>
        </is>
      </c>
      <c r="M87" s="2" t="inlineStr">
        <is>
          <t>https://nvd.nist.gov/vuln/detail/CVE-2026-47482</t>
        </is>
      </c>
      <c r="N87" s="2" t="inlineStr">
        <is>
          <t>NVD</t>
        </is>
      </c>
      <c r="O87" s="2" t="inlineStr">
        <is>
          <t>github</t>
        </is>
      </c>
      <c r="P87" s="2" t="inlineStr">
        <is>
          <t>20261025230753</t>
        </is>
      </c>
    </row>
    <row r="88">
      <c r="A88" s="2" t="inlineStr">
        <is>
          <t>CVE-2025-59425</t>
        </is>
      </c>
      <c r="B88" s="2" t="inlineStr">
        <is>
          <t>vLLM</t>
        </is>
      </c>
      <c r="C88" s="2" t="inlineStr">
        <is>
          <t>vllm</t>
        </is>
      </c>
      <c r="D88" s="2" t="inlineStr">
        <is>
          <t>&lt;0.11.0|==0.11.0</t>
        </is>
      </c>
      <c r="E88" s="2" t="inlineStr">
        <is>
          <t>0.11.0</t>
        </is>
      </c>
      <c r="F88" s="2" t="inlineStr">
        <is>
          <t>HIGH</t>
        </is>
      </c>
      <c r="G88" s="2" t="inlineStr">
        <is>
          <t>7.5</t>
        </is>
      </c>
      <c r="H88" s="2" t="inlineStr">
        <is>
          <t>CVSS:3.1/AV:N/AC:L/PR:N/UI:N/S:U/C:H/I:N/A:N</t>
        </is>
      </c>
      <c r="I88" s="2" t="inlineStr">
        <is>
          <t>20251007</t>
        </is>
      </c>
      <c r="J88" s="2" t="inlineStr">
        <is>
          <t>20261019</t>
        </is>
      </c>
      <c r="K88" s="2" t="inlineStr">
        <is>
          <t>N</t>
        </is>
      </c>
      <c r="L88" s="2" t="inlineStr">
        <is>
          <t>vLLM is an inference and serving engine for large language models (LLMs). Before version 0.11.0rc2, the API key support in vLLM performs validation using a method that was vulnerable to a timing attack. API key validation uses a string comparison that takes longer the more characters the provided API key gets correct. Data analysis across many attempts could allow an attacker to determine when it finds the next correct character in the key sequence. Deployments relying on vLLM's built-in API key validation are vulnerable to authentication bypass using this technique. Version 0.11.0rc2 fixes the issue.</t>
        </is>
      </c>
      <c r="M88" s="2" t="inlineStr">
        <is>
          <t>https://github.com/vllm-project/vllm/commit/ee10d7e6ff5875386c7f136ce8b5f525c8fcef48</t>
        </is>
      </c>
      <c r="N88" s="2" t="inlineStr">
        <is>
          <t>NVD</t>
        </is>
      </c>
      <c r="O88" s="2" t="inlineStr">
        <is>
          <t>pypi</t>
        </is>
      </c>
      <c r="P88" s="2" t="inlineStr">
        <is>
          <t>20261025230753</t>
        </is>
      </c>
    </row>
    <row r="89">
      <c r="A89" s="2" t="inlineStr">
        <is>
          <t>CVE-2026-105759</t>
        </is>
      </c>
      <c r="B89" s="2" t="inlineStr">
        <is>
          <t>vLLM</t>
        </is>
      </c>
      <c r="C89" s="2" t="inlineStr">
        <is>
          <t>vLLM Project</t>
        </is>
      </c>
      <c r="D89" s="2" t="inlineStr">
        <is>
          <t>&lt;0.30.0</t>
        </is>
      </c>
      <c r="E89" s="2" t="inlineStr">
        <is>
          <t>0.30.0</t>
        </is>
      </c>
      <c r="F89" s="2" t="inlineStr">
        <is>
          <t>HIGH</t>
        </is>
      </c>
      <c r="G89" s="2" t="inlineStr">
        <is>
          <t>7.5</t>
        </is>
      </c>
      <c r="H89" s="2" t="inlineStr">
        <is>
          <t>CVSS:3.1/AV:N/AC:L/PR:N/UI:N/S:U/C:N/I:N/A:H</t>
        </is>
      </c>
      <c r="I89" s="2" t="inlineStr">
        <is>
          <t>20261005</t>
        </is>
      </c>
      <c r="J89" s="2" t="inlineStr">
        <is>
          <t>20261023</t>
        </is>
      </c>
      <c r="K89" s="2" t="inlineStr">
        <is>
          <t>N</t>
        </is>
      </c>
      <c r="L89" s="2" t="inlineStr">
        <is>
          <t>vLLM은 대규모 언어 모델을 위한 추론 및 제공 엔진입니다. 0.30.0 이전에는 Rust 프런트엔드의 track_http_metrics 미들웨어가 등록된 경로에 도달하는 요청에 대한 원시 HTTP 메소드 토큰을 Prometheus 레이블로 기록했습니다. 인증되지 않은 공격자는 /tokenize와 같은 보호되지 않은 경로에 고유한 임의 메서드 토큰을 보내 Prometheus의 Family::get_or_create 함수가 카운터 및 히스토그램 레이블 세트를 영구적으로 생성하도록 할 수 있습니다. 이러한 레이블 세트는 프로세스 메모리 사용량을 늘리고 서비스 또는 모니터링 경로가 소진될 때까지 /metrics 응답을 확대합니다. 이 문제는 버전 0.30.0에서 해결되었습니다.</t>
        </is>
      </c>
      <c r="M89" s="2" t="inlineStr">
        <is>
          <t>https://github.com/vllm-project/vllm/releases/tag/v0.30.0</t>
        </is>
      </c>
      <c r="N89" s="2" t="inlineStr">
        <is>
          <t>OSV</t>
        </is>
      </c>
      <c r="O89" s="2" t="inlineStr">
        <is>
          <t>pypi</t>
        </is>
      </c>
      <c r="P89" s="2" t="inlineStr">
        <is>
          <t>20261025230745</t>
        </is>
      </c>
    </row>
    <row r="90">
      <c r="A90" s="2" t="inlineStr">
        <is>
          <t>CVE-2026-114050</t>
        </is>
      </c>
      <c r="B90" s="2" t="inlineStr">
        <is>
          <t>vLLM</t>
        </is>
      </c>
      <c r="C90" s="2" t="inlineStr">
        <is>
          <t>vLLM Project</t>
        </is>
      </c>
      <c r="D90" s="2" t="inlineStr">
        <is>
          <t>&lt;0.31.0</t>
        </is>
      </c>
      <c r="E90" s="2" t="inlineStr">
        <is>
          <t>0.31.0</t>
        </is>
      </c>
      <c r="F90" s="2" t="inlineStr">
        <is>
          <t>HIGH</t>
        </is>
      </c>
      <c r="G90" s="2" t="inlineStr">
        <is>
          <t>7.5</t>
        </is>
      </c>
      <c r="H90" s="2" t="inlineStr">
        <is>
          <t>CVSS:3.1/AV:N/AC:L/PR:N/UI:N/S:U/C:N/I:N/A:H</t>
        </is>
      </c>
      <c r="I90" s="2" t="inlineStr">
        <is>
          <t>20261021</t>
        </is>
      </c>
      <c r="J90" s="2" t="inlineStr">
        <is>
          <t>20261023</t>
        </is>
      </c>
      <c r="K90" s="2" t="inlineStr">
        <is>
          <t>N</t>
        </is>
      </c>
      <c r="L90" s="2" t="inlineStr">
        <is>
          <t>vLLM before 0.31.0 uses a client-supplied multimodal uuid verbatim as cache identity with no consistency check on cache hits, allowing engine crashes. Unauthenticated attackers can desynchronize the P0/P1 processor caches to trigger a fatal token-placeholder mismatch, killing the entire serving instance until restarted.</t>
        </is>
      </c>
      <c r="M90" s="2" t="inlineStr">
        <is>
          <t>https://github.com/vllm-project/vllm/security/advisories/GHSA-p92p-rxj5-7p2x</t>
        </is>
      </c>
      <c r="N90" s="2" t="inlineStr">
        <is>
          <t>NVD+OSV+GHSA</t>
        </is>
      </c>
      <c r="O90" s="2" t="inlineStr">
        <is>
          <t>pypi</t>
        </is>
      </c>
      <c r="P90" s="2" t="inlineStr">
        <is>
          <t>20261025230840</t>
        </is>
      </c>
    </row>
    <row r="91">
      <c r="A91" s="2" t="inlineStr">
        <is>
          <t>CVE-2026-114051</t>
        </is>
      </c>
      <c r="B91" s="2" t="inlineStr">
        <is>
          <t>vLLM</t>
        </is>
      </c>
      <c r="C91" s="2" t="inlineStr">
        <is>
          <t>vLLM Project</t>
        </is>
      </c>
      <c r="D91" s="2" t="inlineStr">
        <is>
          <t>&lt;0.31.0</t>
        </is>
      </c>
      <c r="E91" s="2" t="inlineStr"/>
      <c r="F91" s="2" t="inlineStr">
        <is>
          <t>HIGH</t>
        </is>
      </c>
      <c r="G91" s="2" t="inlineStr">
        <is>
          <t>7.5</t>
        </is>
      </c>
      <c r="H91" s="2" t="inlineStr">
        <is>
          <t>CVSS:3.1/AV:N/AC:L/PR:N/UI:N/S:U/C:N/I:N/A:H</t>
        </is>
      </c>
      <c r="I91" s="2" t="inlineStr">
        <is>
          <t>20261021</t>
        </is>
      </c>
      <c r="J91" s="2" t="inlineStr">
        <is>
          <t>20261022</t>
        </is>
      </c>
      <c r="K91" s="2" t="inlineStr">
        <is>
          <t>N</t>
        </is>
      </c>
      <c r="L91" s="2" t="inlineStr">
        <is>
          <t>vLLM before 0.31.0 skips the min_tokens &lt;= max_tokens check for /inference/v1/generate requests with a null max_tokens, so the EngineCore input thread later dies on an uncaught VLLMValidationError while /health still returns 200. Unauthenticated remote attackers can send one request with an oversized min_tokens to hang all subsequent generation requests until manual restart.</t>
        </is>
      </c>
      <c r="M91" s="2" t="inlineStr">
        <is>
          <t>https://github.com/vllm-project/vllm/security/advisories/GHSA-4xqp-c3mv-qff7</t>
        </is>
      </c>
      <c r="N91" s="2" t="inlineStr">
        <is>
          <t>NVD</t>
        </is>
      </c>
      <c r="O91" s="2" t="inlineStr">
        <is>
          <t>pypi</t>
        </is>
      </c>
      <c r="P91" s="2" t="inlineStr">
        <is>
          <t>20261025230753</t>
        </is>
      </c>
    </row>
    <row r="92">
      <c r="A92" s="2" t="inlineStr">
        <is>
          <t>CVE-2026-114052</t>
        </is>
      </c>
      <c r="B92" s="2" t="inlineStr">
        <is>
          <t>vLLM</t>
        </is>
      </c>
      <c r="C92" s="2" t="inlineStr">
        <is>
          <t>vLLM Project</t>
        </is>
      </c>
      <c r="D92" s="2" t="inlineStr">
        <is>
          <t>&lt;0.31.0</t>
        </is>
      </c>
      <c r="E92" s="2" t="inlineStr"/>
      <c r="F92" s="2" t="inlineStr">
        <is>
          <t>HIGH</t>
        </is>
      </c>
      <c r="G92" s="2" t="inlineStr">
        <is>
          <t>7.5</t>
        </is>
      </c>
      <c r="H92" s="2" t="inlineStr">
        <is>
          <t>CVSS:3.1/AV:N/AC:L/PR:N/UI:N/S:U/C:N/I:N/A:H</t>
        </is>
      </c>
      <c r="I92" s="2" t="inlineStr">
        <is>
          <t>20261021</t>
        </is>
      </c>
      <c r="J92" s="2" t="inlineStr">
        <is>
          <t>20261022</t>
        </is>
      </c>
      <c r="K92" s="2" t="inlineStr">
        <is>
          <t>N</t>
        </is>
      </c>
      <c r="L92" s="2" t="inlineStr">
        <is>
          <t>vLLM after 0.24.0 and before 0.31.0 contains a memory exhaustion vulnerability in MOSS-Audio model serving that caches a processor for every distinct request-controlled mm_processor_kwargs value in an unbounded dictionary. Unauthenticated attackers can send distinct or oversized mel_config values to the /tokenize endpoint, which bypasses --api-key, to exhaust host memory and crash the API process.</t>
        </is>
      </c>
      <c r="M92" s="2" t="inlineStr">
        <is>
          <t>https://github.com/vllm-project/vllm/security/advisories/GHSA-823j-m4cj-hmjf</t>
        </is>
      </c>
      <c r="N92" s="2" t="inlineStr">
        <is>
          <t>NVD</t>
        </is>
      </c>
      <c r="O92" s="2" t="inlineStr">
        <is>
          <t>pypi</t>
        </is>
      </c>
      <c r="P92" s="2" t="inlineStr">
        <is>
          <t>20261025230753</t>
        </is>
      </c>
    </row>
    <row r="93">
      <c r="A93" s="2" t="inlineStr">
        <is>
          <t>CVE-2026-114055</t>
        </is>
      </c>
      <c r="B93" s="2" t="inlineStr">
        <is>
          <t>vLLM</t>
        </is>
      </c>
      <c r="C93" s="2" t="inlineStr">
        <is>
          <t>vLLM Project</t>
        </is>
      </c>
      <c r="D93" s="2" t="inlineStr">
        <is>
          <t>&gt;=0.7.3,&lt;0.31.0</t>
        </is>
      </c>
      <c r="E93" s="2" t="inlineStr">
        <is>
          <t>0.31.0</t>
        </is>
      </c>
      <c r="F93" s="2" t="inlineStr">
        <is>
          <t>HIGH</t>
        </is>
      </c>
      <c r="G93" s="2" t="inlineStr">
        <is>
          <t>7.5</t>
        </is>
      </c>
      <c r="H93" s="2" t="inlineStr">
        <is>
          <t>CVSS:3.1/AV:N/AC:L/PR:N/UI:N/S:U/C:N/I:N/A:H</t>
        </is>
      </c>
      <c r="I93" s="2" t="inlineStr">
        <is>
          <t>20261021</t>
        </is>
      </c>
      <c r="J93" s="2" t="inlineStr">
        <is>
          <t>20261023</t>
        </is>
      </c>
      <c r="K93" s="2" t="inlineStr">
        <is>
          <t>N</t>
        </is>
      </c>
      <c r="L93" s="2" t="inlineStr">
        <is>
          <t>vLLM from 0.7.3 before 0.31.0 contains an uncontrolled resource consumption vulnerability that allows remote clients to control multimodal processor parameters by supplying per-request mm_processor_kwargs. Attackers can set large image size, patch count, crop count, or frame count values in Isaac, InternVL, H2OVL, and other processors to exhaust memory and terminate the shared server.</t>
        </is>
      </c>
      <c r="M93" s="2" t="inlineStr">
        <is>
          <t>https://github.com/vllm-project/vllm/security/advisories/GHSA-gx7p-2j49-hfq4</t>
        </is>
      </c>
      <c r="N93" s="2" t="inlineStr">
        <is>
          <t>NVD+OSV+GHSA</t>
        </is>
      </c>
      <c r="O93" s="2" t="inlineStr">
        <is>
          <t>pypi</t>
        </is>
      </c>
      <c r="P93" s="2" t="inlineStr">
        <is>
          <t>20261025230840</t>
        </is>
      </c>
    </row>
    <row r="94">
      <c r="A94" s="2" t="inlineStr">
        <is>
          <t>CVE-2026-116177</t>
        </is>
      </c>
      <c r="B94" s="2" t="inlineStr">
        <is>
          <t>vLLM</t>
        </is>
      </c>
      <c r="C94" s="2" t="inlineStr">
        <is>
          <t>vLLM Project</t>
        </is>
      </c>
      <c r="D94" s="2" t="inlineStr">
        <is>
          <t>&lt;0.25.0</t>
        </is>
      </c>
      <c r="E94" s="2" t="inlineStr"/>
      <c r="F94" s="2" t="inlineStr">
        <is>
          <t>HIGH</t>
        </is>
      </c>
      <c r="G94" s="2" t="inlineStr">
        <is>
          <t>7.5</t>
        </is>
      </c>
      <c r="H94" s="2" t="inlineStr">
        <is>
          <t>CVSS:3.1/AV:N/AC:L/PR:N/UI:N/S:U/C:N/I:N/A:H</t>
        </is>
      </c>
      <c r="I94" s="2" t="inlineStr">
        <is>
          <t>20261025</t>
        </is>
      </c>
      <c r="J94" s="2" t="inlineStr">
        <is>
          <t>20261025</t>
        </is>
      </c>
      <c r="K94" s="2" t="inlineStr">
        <is>
          <t>N</t>
        </is>
      </c>
      <c r="L94" s="2" t="inlineStr">
        <is>
          <t>vLLM from 0.10.2 before 0.25.0 contains an uncontrolled resource consumption vulnerability that allows unauthenticated attackers to exhaust memory because the Nemotron-VL processors globally set Image.MAX_IMAGE_PIXELS to None. Attackers can submit a pathological decompression-bomb image to /v1/chat/completions to OOM-kill the worker and deny service to co-tenants.</t>
        </is>
      </c>
      <c r="M94" s="2" t="inlineStr">
        <is>
          <t>https://github.com/vllm-project/vllm/security/advisories/GHSA-mm38-5g96-7j6x</t>
        </is>
      </c>
      <c r="N94" s="2" t="inlineStr">
        <is>
          <t>NVD</t>
        </is>
      </c>
      <c r="O94" s="2" t="inlineStr">
        <is>
          <t>pypi</t>
        </is>
      </c>
      <c r="P94" s="2" t="inlineStr">
        <is>
          <t>20261025230753</t>
        </is>
      </c>
    </row>
    <row r="95">
      <c r="A95" s="2" t="inlineStr">
        <is>
          <t>CVE-2026-116179</t>
        </is>
      </c>
      <c r="B95" s="2" t="inlineStr">
        <is>
          <t>vLLM</t>
        </is>
      </c>
      <c r="C95" s="2" t="inlineStr">
        <is>
          <t>vLLM Project</t>
        </is>
      </c>
      <c r="D95" s="2" t="inlineStr">
        <is>
          <t>&lt;0.31.0</t>
        </is>
      </c>
      <c r="E95" s="2" t="inlineStr"/>
      <c r="F95" s="2" t="inlineStr">
        <is>
          <t>HIGH</t>
        </is>
      </c>
      <c r="G95" s="2" t="inlineStr">
        <is>
          <t>7.5</t>
        </is>
      </c>
      <c r="H95" s="2" t="inlineStr">
        <is>
          <t>CVSS:3.1/AV:N/AC:L/PR:N/UI:N/S:U/C:N/I:N/A:H</t>
        </is>
      </c>
      <c r="I95" s="2" t="inlineStr">
        <is>
          <t>20261025</t>
        </is>
      </c>
      <c r="J95" s="2" t="inlineStr">
        <is>
          <t>20261025</t>
        </is>
      </c>
      <c r="K95" s="2" t="inlineStr">
        <is>
          <t>N</t>
        </is>
      </c>
      <c r="L95" s="2" t="inlineStr">
        <is>
          <t>vLLM from 0.18.0 before 0.31.0 contains a resource exhaustion vulnerability that allows API clients to bypass the video/jpeg frame-count cap by overriding num_frames through media_io_kwargs. Attackers can set num_frames to -1 with a large inline video so VideoMediaIO.load_base64 decodes every frame, exhausting memory and crashing the API frontend.</t>
        </is>
      </c>
      <c r="M95" s="2" t="inlineStr">
        <is>
          <t>https://github.com/vllm-project/vllm/security/advisories/GHSA-4m6g-h9mv-wqjc</t>
        </is>
      </c>
      <c r="N95" s="2" t="inlineStr">
        <is>
          <t>NVD</t>
        </is>
      </c>
      <c r="O95" s="2" t="inlineStr">
        <is>
          <t>pypi</t>
        </is>
      </c>
      <c r="P95" s="2" t="inlineStr">
        <is>
          <t>20261025230753</t>
        </is>
      </c>
    </row>
    <row r="96">
      <c r="A96" s="2" t="inlineStr">
        <is>
          <t>CVE-2026-54234</t>
        </is>
      </c>
      <c r="B96" s="2" t="inlineStr">
        <is>
          <t>vLLM</t>
        </is>
      </c>
      <c r="C96" s="2" t="inlineStr">
        <is>
          <t>vllm</t>
        </is>
      </c>
      <c r="D96" s="2" t="inlineStr">
        <is>
          <t>&lt;0.24.0</t>
        </is>
      </c>
      <c r="E96" s="2" t="inlineStr">
        <is>
          <t>0.24.0</t>
        </is>
      </c>
      <c r="F96" s="2" t="inlineStr">
        <is>
          <t>HIGH</t>
        </is>
      </c>
      <c r="G96" s="2" t="inlineStr">
        <is>
          <t>7.5</t>
        </is>
      </c>
      <c r="H96" s="2" t="inlineStr">
        <is>
          <t>CVSS:3.1/AV:N/AC:L/PR:N/UI:N/S:U/C:N/I:N/A:H</t>
        </is>
      </c>
      <c r="I96" s="2" t="inlineStr">
        <is>
          <t>20260706</t>
        </is>
      </c>
      <c r="J96" s="2" t="inlineStr">
        <is>
          <t>20261025</t>
        </is>
      </c>
      <c r="K96" s="2" t="inlineStr">
        <is>
          <t>N</t>
        </is>
      </c>
      <c r="L96" s="2" t="inlineStr">
        <is>
          <t>vLLM is a high-throughput and memory-efficient inference and serving engine for LLMs. Prior to 0.24.0, a frontend-legal multi-request speculative decoding workload can cause the rejection sampler to produce a recovered token equal to the model vocabulary size boundary value, which is then converted to negative one when the engine selects the next live token for a request and is written back into the drafter's input ids; that out-of-vocabulary value is later consumed by the model's embedding and attention path and crashes the engine worker with a GPU device-side assertion. The same triggering request sequence is reachable through the public gRPC Generate and Abort endpoints, so a remote client that can send generation requests can crash the shared engine worker, aborting concurrent requests and causing a service-wide denial of service for other clients of the deployment until the worker is restarted. This issue is fixed in version 0.24.0.</t>
        </is>
      </c>
      <c r="M96" s="2" t="inlineStr">
        <is>
          <t>https://github.com/vllm-project/vllm/commit/8a5cf1ccd65e8ac7635c402c1ec0b08988bc26ca</t>
        </is>
      </c>
      <c r="N96" s="2" t="inlineStr">
        <is>
          <t>NVD</t>
        </is>
      </c>
      <c r="O96" s="2" t="inlineStr">
        <is>
          <t>pypi</t>
        </is>
      </c>
      <c r="P96" s="2" t="inlineStr">
        <is>
          <t>20261025230753</t>
        </is>
      </c>
    </row>
    <row r="97">
      <c r="A97" s="2" t="inlineStr">
        <is>
          <t>CVE-2026-55574</t>
        </is>
      </c>
      <c r="B97" s="2" t="inlineStr">
        <is>
          <t>vLLM</t>
        </is>
      </c>
      <c r="C97" s="2" t="inlineStr">
        <is>
          <t>vllm</t>
        </is>
      </c>
      <c r="D97" s="2" t="inlineStr">
        <is>
          <t>&lt;0.24.0</t>
        </is>
      </c>
      <c r="E97" s="2" t="inlineStr">
        <is>
          <t>0.24.0</t>
        </is>
      </c>
      <c r="F97" s="2" t="inlineStr">
        <is>
          <t>HIGH</t>
        </is>
      </c>
      <c r="G97" s="2" t="inlineStr">
        <is>
          <t>7.5</t>
        </is>
      </c>
      <c r="H97" s="2" t="inlineStr">
        <is>
          <t>CVSS:3.1/AV:N/AC:L/PR:N/UI:N/S:U/C:N/I:N/A:H</t>
        </is>
      </c>
      <c r="I97" s="2" t="inlineStr">
        <is>
          <t>20260706</t>
        </is>
      </c>
      <c r="J97" s="2" t="inlineStr">
        <is>
          <t>20261025</t>
        </is>
      </c>
      <c r="K97" s="2" t="inlineStr">
        <is>
          <t>N</t>
        </is>
      </c>
      <c r="L97" s="2" t="inlineStr">
        <is>
          <t>vLLM is a high-throughput and memory-efficient inference and serving engine for LLMs. Prior to 0.24.0, the structured_outputs.regex API parameter passes a user-supplied regular expression string directly to the grammar compiler backends with no compilation timeout; in the xgrammar backend the string reaches the regex compiler with no guard, and in the outlines backend the validation step blocks structural issues such as lookarounds and backreferences but performs no complexity analysis, so a pattern with nested quantifiers passes all checks and causes exponential state-space expansion, allowing a single request containing an adversarial regex to hang an inference worker indefinitely and deny service. This issue is fixed in version 0.24.0.</t>
        </is>
      </c>
      <c r="M97" s="2" t="inlineStr">
        <is>
          <t>https://github.com/vllm-project/vllm/commit/2b3006076c5e9bc4cda9e03e3641388de3c5c286</t>
        </is>
      </c>
      <c r="N97" s="2" t="inlineStr">
        <is>
          <t>NVD</t>
        </is>
      </c>
      <c r="O97" s="2" t="inlineStr">
        <is>
          <t>pypi</t>
        </is>
      </c>
      <c r="P97" s="2" t="inlineStr">
        <is>
          <t>20261025230753</t>
        </is>
      </c>
    </row>
    <row r="98">
      <c r="A98" s="2" t="inlineStr">
        <is>
          <t>CVE-2026-112308</t>
        </is>
      </c>
      <c r="B98" s="2" t="inlineStr">
        <is>
          <t>CrewAI</t>
        </is>
      </c>
      <c r="C98" s="2" t="inlineStr">
        <is>
          <t>CrewAI</t>
        </is>
      </c>
      <c r="D98" s="2" t="inlineStr">
        <is>
          <t>&lt;=1.15.28</t>
        </is>
      </c>
      <c r="E98" s="2" t="inlineStr"/>
      <c r="F98" s="2" t="inlineStr">
        <is>
          <t>HIGH</t>
        </is>
      </c>
      <c r="G98" s="2" t="inlineStr">
        <is>
          <t>7.4</t>
        </is>
      </c>
      <c r="H98" s="2" t="inlineStr">
        <is>
          <t>CVSS:3.1/AV:N/AC:L/PR:N/UI:R/S:C/C:H/I:N/A:N</t>
        </is>
      </c>
      <c r="I98" s="2" t="inlineStr">
        <is>
          <t>20261019</t>
        </is>
      </c>
      <c r="J98" s="2" t="inlineStr">
        <is>
          <t>20261019</t>
        </is>
      </c>
      <c r="K98" s="2" t="inlineStr">
        <is>
          <t>N</t>
        </is>
      </c>
      <c r="L98" s="2" t="inlineStr">
        <is>
          <t>crewai-tools through 1.15.28 contains a server-side request forgery vulnerability in SeleniumScrapingTool that allows attackers to fetch internal resources because it never applies the validate_url private-address check. Attackers influencing agent tool input through prompt injection can direct headless Chrome to loopback, RFC1918, or cloud metadata addresses to disclose internal data and cloud credentials.</t>
        </is>
      </c>
      <c r="M98" s="2" t="inlineStr">
        <is>
          <t>https://github.com/crewAIInc/crewAI/blob/1.15.28/lib/crewai-tools/src/crewai_tools/tools/selenium_scraping_tool/selenium_scraping_tool.py</t>
        </is>
      </c>
      <c r="N98" s="2" t="inlineStr">
        <is>
          <t>NVD</t>
        </is>
      </c>
      <c r="O98" s="2" t="inlineStr">
        <is>
          <t>pypi</t>
        </is>
      </c>
      <c r="P98" s="2" t="inlineStr">
        <is>
          <t>20261025230753</t>
        </is>
      </c>
    </row>
    <row r="99">
      <c r="A99" s="2" t="inlineStr">
        <is>
          <t>CVE-2025-8709</t>
        </is>
      </c>
      <c r="B99" s="2" t="inlineStr">
        <is>
          <t>LangChain</t>
        </is>
      </c>
      <c r="C99" s="2" t="inlineStr">
        <is>
          <t>LangChain</t>
        </is>
      </c>
      <c r="D99" s="2" t="inlineStr">
        <is>
          <t>*</t>
        </is>
      </c>
      <c r="E99" s="2" t="inlineStr"/>
      <c r="F99" s="2" t="inlineStr">
        <is>
          <t>HIGH</t>
        </is>
      </c>
      <c r="G99" s="2" t="inlineStr">
        <is>
          <t>7.3</t>
        </is>
      </c>
      <c r="H99" s="2" t="inlineStr">
        <is>
          <t>CVSS:3.0/AV:L/AC:L/PR:L/UI:N/S:C/C:H/I:L/A:N</t>
        </is>
      </c>
      <c r="I99" s="2" t="inlineStr">
        <is>
          <t>20251026</t>
        </is>
      </c>
      <c r="J99" s="2" t="inlineStr">
        <is>
          <t>20261019</t>
        </is>
      </c>
      <c r="K99" s="2" t="inlineStr">
        <is>
          <t>N</t>
        </is>
      </c>
      <c r="L99" s="2" t="inlineStr">
        <is>
          <t>[버전범위 불명확] A SQL injection vulnerability exists in the langchain-ai/langchain repository, specifically in the LangGraph's SQLite store implementation. The affected version is langgraph-checkpoint-sqlite 2.0.10. The vulnerability arises from improper handling of filter operators ($eq, $ne, $gt, $lt, $gte, $lte) where direct string concatenation is used without proper parameterization. This allows attackers to inject arbitrary SQL, leading to unauthorized access to all documents, data exfiltration of sensitive fields such as passwords and API keys, and a complete bypass of application-level security filters.</t>
        </is>
      </c>
      <c r="M99" s="2" t="inlineStr">
        <is>
          <t>https://huntr.com/bounties/9793f4b3-76f8-44a4-989f-49a2177ee118</t>
        </is>
      </c>
      <c r="N99" s="2" t="inlineStr">
        <is>
          <t>NVD</t>
        </is>
      </c>
      <c r="O99" s="2" t="inlineStr">
        <is>
          <t>pypi</t>
        </is>
      </c>
      <c r="P99" s="2" t="inlineStr">
        <is>
          <t>20261025230753</t>
        </is>
      </c>
    </row>
    <row r="100">
      <c r="A100" s="2" t="inlineStr">
        <is>
          <t>CVE-2026-59206</t>
        </is>
      </c>
      <c r="B100" s="2" t="inlineStr">
        <is>
          <t>n8n</t>
        </is>
      </c>
      <c r="C100" s="2" t="inlineStr">
        <is>
          <t>n8n</t>
        </is>
      </c>
      <c r="D100" s="2" t="inlineStr">
        <is>
          <t>&lt;1.123.61|&gt;=2.0.0,&lt;2.27.4|==2.28.0</t>
        </is>
      </c>
      <c r="E100" s="2" t="inlineStr"/>
      <c r="F100" s="2" t="inlineStr">
        <is>
          <t>HIGH</t>
        </is>
      </c>
      <c r="G100" s="2" t="inlineStr">
        <is>
          <t>7.1</t>
        </is>
      </c>
      <c r="H100" s="2" t="inlineStr">
        <is>
          <t>CVSS:3.1/AV:N/AC:L/PR:L/UI:N/S:U/C:H/I:N/A:L</t>
        </is>
      </c>
      <c r="I100" s="2" t="inlineStr">
        <is>
          <t>20260709</t>
        </is>
      </c>
      <c r="J100" s="2" t="inlineStr">
        <is>
          <t>20261025</t>
        </is>
      </c>
      <c r="K100" s="2" t="inlineStr">
        <is>
          <t>N</t>
        </is>
      </c>
      <c r="L100" s="2" t="inlineStr">
        <is>
          <t>n8n is an open source workflow automation platform. Prior to 1.123.61, 2.27.4, and, 2.28.1, an authenticated user with the default workflow:create permission could pollute Object.prototype through a crafted workflow saved, updated, or imported via the workflow API, allowing unauthenticated requests to be treated as a privileged user and exposing user and project listing endpoints. This issue is fixed in versions 1.123.61, 2.27.4, and 2.28.1.</t>
        </is>
      </c>
      <c r="M100" s="2" t="inlineStr">
        <is>
          <t>https://github.com/n8n-io/n8n/security/advisories/GHSA-75qm-gp28-rcq9</t>
        </is>
      </c>
      <c r="N100" s="2" t="inlineStr">
        <is>
          <t>NVD</t>
        </is>
      </c>
      <c r="O100" s="2" t="inlineStr">
        <is>
          <t>npm</t>
        </is>
      </c>
      <c r="P100" s="2" t="inlineStr">
        <is>
          <t>20261025230753</t>
        </is>
      </c>
    </row>
    <row r="101">
      <c r="A101" s="2" t="inlineStr">
        <is>
          <t>CVE-2026-96637</t>
        </is>
      </c>
      <c r="B101" s="2" t="inlineStr">
        <is>
          <t>Pillow</t>
        </is>
      </c>
      <c r="C101" s="2" t="inlineStr">
        <is>
          <t>Python Pillow</t>
        </is>
      </c>
      <c r="D101" s="2" t="inlineStr">
        <is>
          <t>&lt;13.0.0</t>
        </is>
      </c>
      <c r="E101" s="2" t="inlineStr">
        <is>
          <t>13.0.0</t>
        </is>
      </c>
      <c r="F101" s="2" t="inlineStr">
        <is>
          <t>HIGH</t>
        </is>
      </c>
      <c r="G101" s="2" t="inlineStr">
        <is>
          <t>7.1</t>
        </is>
      </c>
      <c r="H101" s="2" t="inlineStr">
        <is>
          <t>CVSS:4.0/AV:N/AC:L/AT:N/PR:N/UI:P/VC:N/VI:N/VA:H/SC:N/SI:N/SA:N/E:X/CR:X/IR:X/AR:X/MAV:X/MAC:X/MAT:X/MPR:X/MUI:X/MVC:X/MVI:X/MVA:X/MSC:X/MSI:X/MSA:X/S:X/AU:X/R:X/V:X/RE:X/U:X</t>
        </is>
      </c>
      <c r="I101" s="2" t="inlineStr">
        <is>
          <t>20261021</t>
        </is>
      </c>
      <c r="J101" s="2" t="inlineStr">
        <is>
          <t>20261023</t>
        </is>
      </c>
      <c r="K101" s="2" t="inlineStr">
        <is>
          <t>N</t>
        </is>
      </c>
      <c r="L101" s="2" t="inlineStr">
        <is>
          <t>Pillow is a Python imaging library. Prior to 13.0.0, SpiderImageFile.seek() in src/PIL/SpiderImagePlugin.py reparses a later SPIDER stack frame and replaces self._size without rerunning Image._decompression_bomb_check(). A tiny file can use a safe first frame to pass Image.open() and then declare very large dimensions in a later mode F frame. Loading that frame allocates approximately four bytes per attacker-declared pixel and can consume multiple gigabytes of memory. This issue is fixed in version 13.0.0.</t>
        </is>
      </c>
      <c r="M101" s="2" t="inlineStr">
        <is>
          <t>https://github.com/python-pillow/Pillow/commit/7cb0e02389d8aac2a60896a490f572db0b07b841</t>
        </is>
      </c>
      <c r="N101" s="2" t="inlineStr">
        <is>
          <t>NVD+OSV+GHSA</t>
        </is>
      </c>
      <c r="O101" s="2" t="inlineStr">
        <is>
          <t>pypi</t>
        </is>
      </c>
      <c r="P101" s="2" t="inlineStr">
        <is>
          <t>20261025230840</t>
        </is>
      </c>
    </row>
    <row r="102">
      <c r="A102" s="2" t="inlineStr">
        <is>
          <t>CVE-2026-96642</t>
        </is>
      </c>
      <c r="B102" s="2" t="inlineStr">
        <is>
          <t>Pillow</t>
        </is>
      </c>
      <c r="C102" s="2" t="inlineStr">
        <is>
          <t>Python Pillow</t>
        </is>
      </c>
      <c r="D102" s="2" t="inlineStr">
        <is>
          <t>&lt;13.0.0</t>
        </is>
      </c>
      <c r="E102" s="2" t="inlineStr">
        <is>
          <t>13.0.0</t>
        </is>
      </c>
      <c r="F102" s="2" t="inlineStr">
        <is>
          <t>HIGH</t>
        </is>
      </c>
      <c r="G102" s="2" t="inlineStr">
        <is>
          <t>7.1</t>
        </is>
      </c>
      <c r="H102" s="2" t="inlineStr">
        <is>
          <t>CVSS:4.0/AV:N/AC:L/AT:N/PR:N/UI:P/VC:N/VI:N/VA:H/SC:N/SI:N/SA:N/E:X/CR:X/IR:X/AR:X/MAV:X/MAC:X/MAT:X/MPR:X/MUI:X/MVC:X/MVI:X/MVA:X/MSC:X/MSI:X/MSA:X/S:X/AU:X/R:X/V:X/RE:X/U:X</t>
        </is>
      </c>
      <c r="I102" s="2" t="inlineStr">
        <is>
          <t>20261021</t>
        </is>
      </c>
      <c r="J102" s="2" t="inlineStr">
        <is>
          <t>20261022</t>
        </is>
      </c>
      <c r="K102" s="2" t="inlineStr">
        <is>
          <t>N</t>
        </is>
      </c>
      <c r="L102" s="2" t="inlineStr">
        <is>
          <t>Pillow is a Python imaging library. Prior to 13.0.0, the TarIO initializer in src/PIL/TarIO.py accepts a negative octal member size and computes a backward seek that returns to the same 512-byte header. When the requested member name does not match, the parser repeatedly reads that header, consumes a full CPU core, and never returns. TarIO is reached only when an application directly uses PIL.TarIO.TarIO rather than the default Image.open() path. This issue is fixed in version 13.0.0.</t>
        </is>
      </c>
      <c r="M102" s="2" t="inlineStr">
        <is>
          <t>https://github.com/python-pillow/Pillow/commit/19b695fdcc5eddc37374e2b1645fc4185edaf71d</t>
        </is>
      </c>
      <c r="N102" s="2" t="inlineStr">
        <is>
          <t>NVD+OSV+GHSA</t>
        </is>
      </c>
      <c r="O102" s="2" t="inlineStr">
        <is>
          <t>pypi</t>
        </is>
      </c>
      <c r="P102" s="2" t="inlineStr">
        <is>
          <t>20261025230840</t>
        </is>
      </c>
    </row>
    <row r="103">
      <c r="A103" s="2" t="inlineStr">
        <is>
          <t>CVE-2026-96643</t>
        </is>
      </c>
      <c r="B103" s="2" t="inlineStr">
        <is>
          <t>Pillow</t>
        </is>
      </c>
      <c r="C103" s="2" t="inlineStr">
        <is>
          <t>Python Pillow</t>
        </is>
      </c>
      <c r="D103" s="2" t="inlineStr">
        <is>
          <t>&gt;=11.0.0,&lt;13.0.0</t>
        </is>
      </c>
      <c r="E103" s="2" t="inlineStr">
        <is>
          <t>13.0.0</t>
        </is>
      </c>
      <c r="F103" s="2" t="inlineStr">
        <is>
          <t>HIGH</t>
        </is>
      </c>
      <c r="G103" s="2" t="inlineStr">
        <is>
          <t>7.1</t>
        </is>
      </c>
      <c r="H103" s="2" t="inlineStr">
        <is>
          <t>CVSS:4.0/AV:N/AC:L/AT:N/PR:N/UI:P/VC:N/VI:N/VA:H/SC:N/SI:N/SA:N/E:X/CR:X/IR:X/AR:X/MAV:X/MAC:X/MAT:X/MPR:X/MUI:X/MVC:X/MVI:X/MVA:X/MSC:X/MSI:X/MSA:X/S:X/AU:X/R:X/V:X/RE:X/U:X</t>
        </is>
      </c>
      <c r="I103" s="2" t="inlineStr">
        <is>
          <t>20261021</t>
        </is>
      </c>
      <c r="J103" s="2" t="inlineStr">
        <is>
          <t>20261023</t>
        </is>
      </c>
      <c r="K103" s="2" t="inlineStr">
        <is>
          <t>N</t>
        </is>
      </c>
      <c r="L103" s="2" t="inlineStr">
        <is>
          <t>Pillow is a Python imaging library. From 11.0.0 until 13.0.0, Exif.load() in src/PIL/Image.py repeatedly slices the remaining EXIF data while it begins with the six-byte Exif header. src/PIL/PngImagePlugin.py accepts an uncapped PNG eXIf chunk, so a file filled with repeated headers causes a new shrinking copy on every iteration and quadratic CPU work. The condition is reachable through Image.getexif(), Image._getexif(), and ImageOps.exif_transpose(), including common photo-upload rotation workflows. This issue is fixed in version 13.0.0.</t>
        </is>
      </c>
      <c r="M103" s="2" t="inlineStr">
        <is>
          <t>https://github.com/python-pillow/Pillow/commit/806e38381c781f32bbd22f4cd026678acd40fd6c</t>
        </is>
      </c>
      <c r="N103" s="2" t="inlineStr">
        <is>
          <t>NVD+OSV+GHSA</t>
        </is>
      </c>
      <c r="O103" s="2" t="inlineStr">
        <is>
          <t>pypi</t>
        </is>
      </c>
      <c r="P103" s="2" t="inlineStr">
        <is>
          <t>20261025230840</t>
        </is>
      </c>
    </row>
    <row r="104">
      <c r="A104" s="2" t="inlineStr">
        <is>
          <t>CVE-2026-96644</t>
        </is>
      </c>
      <c r="B104" s="2" t="inlineStr">
        <is>
          <t>Pillow</t>
        </is>
      </c>
      <c r="C104" s="2" t="inlineStr">
        <is>
          <t>Python Pillow</t>
        </is>
      </c>
      <c r="D104" s="2" t="inlineStr">
        <is>
          <t>&lt;13.0.0</t>
        </is>
      </c>
      <c r="E104" s="2" t="inlineStr">
        <is>
          <t>13.0.0</t>
        </is>
      </c>
      <c r="F104" s="2" t="inlineStr">
        <is>
          <t>HIGH</t>
        </is>
      </c>
      <c r="G104" s="2" t="inlineStr">
        <is>
          <t>7.1</t>
        </is>
      </c>
      <c r="H104" s="2" t="inlineStr">
        <is>
          <t>CVSS:4.0/AV:N/AC:L/AT:N/PR:N/UI:P/VC:L/VI:N/VA:H/SC:N/SI:N/SA:N/E:X/CR:X/IR:X/AR:X/MAV:X/MAC:X/MAT:X/MPR:X/MUI:X/MVC:X/MVI:X/MVA:X/MSC:X/MSI:X/MSA:X/S:X/AU:X/R:X/V:X/RE:X/U:X</t>
        </is>
      </c>
      <c r="I104" s="2" t="inlineStr">
        <is>
          <t>20261021</t>
        </is>
      </c>
      <c r="J104" s="2" t="inlineStr">
        <is>
          <t>20261022</t>
        </is>
      </c>
      <c r="K104" s="2" t="inlineStr">
        <is>
          <t>N</t>
        </is>
      </c>
      <c r="L104" s="2" t="inlineStr">
        <is>
          <t>Pillow is a Python imaging library. Prior to 13.0.0 on Windows, src/PIL/WmfImagePlugin.py passes unchecked 32-bit WMF or EMF dimensions to the native drawwmf handler in src/display.c. The handler sizes a DIB allocation from 16-bit-truncated bcWidth and bcHeight fields but copies pixel data using the original full dimensions. A crafted wide, short metafile can pass the pixel-count decompression-bomb check and make the Windows-only renderer read beyond the heap buffer, potentially disclosing memory or crashing the process. This issue is fixed in version 13.0.0.</t>
        </is>
      </c>
      <c r="M104" s="2" t="inlineStr">
        <is>
          <t>https://github.com/python-pillow/Pillow/commit/4cf46bee338304c5c8968fd7f132ba0d40c428b7</t>
        </is>
      </c>
      <c r="N104" s="2" t="inlineStr">
        <is>
          <t>NVD+OSV+GHSA</t>
        </is>
      </c>
      <c r="O104" s="2" t="inlineStr">
        <is>
          <t>pypi</t>
        </is>
      </c>
      <c r="P104" s="2" t="inlineStr">
        <is>
          <t>20261025230840</t>
        </is>
      </c>
    </row>
    <row r="105">
      <c r="A105" s="2" t="inlineStr">
        <is>
          <t>CVE-2026-112902</t>
        </is>
      </c>
      <c r="B105" s="2" t="inlineStr">
        <is>
          <t>Pillow</t>
        </is>
      </c>
      <c r="C105" s="2" t="inlineStr">
        <is>
          <t>Python Pillow</t>
        </is>
      </c>
      <c r="D105" s="2" t="inlineStr">
        <is>
          <t>&lt;13.0.0</t>
        </is>
      </c>
      <c r="E105" s="2" t="inlineStr">
        <is>
          <t>13.0.0</t>
        </is>
      </c>
      <c r="F105" s="2" t="inlineStr">
        <is>
          <t>HIGH</t>
        </is>
      </c>
      <c r="G105" s="2" t="inlineStr"/>
      <c r="H105" s="2" t="inlineStr">
        <is>
          <t>CVSS:4.0/AV:N/AC:L/AT:N/PR:N/UI:N/VC:H/VI:N/VA:H/SC:N/SI:N/SA:N</t>
        </is>
      </c>
      <c r="I105" s="2" t="inlineStr">
        <is>
          <t>20261021</t>
        </is>
      </c>
      <c r="J105" s="2" t="inlineStr">
        <is>
          <t>20261021</t>
        </is>
      </c>
      <c r="K105" s="2" t="inlineStr">
        <is>
          <t>N</t>
        </is>
      </c>
      <c r="L105" s="2" t="inlineStr">
        <is>
          <t>Pillow: Memory disclosure and segfault in libtiff encoder via crafted TIFF tags ``` ============================================================================ Memory disclosure and segfault in libtiff encoder via crafted TIFF tags Location: src/encode.c:1014 in PyImaging_LibTiffEncoderNew() Commit: a707c6b21c313880d0771e54965d142dd42358b6 ============================================================================ ``` A crafted TIFF file of a few hundred bytes makes Pillow copy an attacker-chosen amount of its own process memory into the TIFF it writes back out, or crash the process outright. The trigger is an ordinary `Image.open()` followed by a bare `im.save(fp, "TIFF")`. The only precondition is that the application re-saves images as TIFF. When the uploaded file is compressed, Pillow routes that save through libtiff automatically, with no options from the application. The attached reproducer does this with a 356-byte LZW TIFF: one crafted tag comes back holding 65536 bytes taken</t>
        </is>
      </c>
      <c r="M105" s="2" t="inlineStr">
        <is>
          <t>https://github.com/advisories/GHSA-xvh5-g6gv-559v</t>
        </is>
      </c>
      <c r="N105" s="2" t="inlineStr">
        <is>
          <t>OSV+GHSA</t>
        </is>
      </c>
      <c r="O105" s="2" t="inlineStr">
        <is>
          <t>pypi</t>
        </is>
      </c>
      <c r="P105" s="2" t="inlineStr">
        <is>
          <t>20261025230840</t>
        </is>
      </c>
    </row>
    <row r="106">
      <c r="A106" s="2" t="inlineStr">
        <is>
          <t>CVE-2026-112401</t>
        </is>
      </c>
      <c r="B106" s="2" t="inlineStr">
        <is>
          <t>Pillow</t>
        </is>
      </c>
      <c r="C106" s="2" t="inlineStr">
        <is>
          <t>Python Pillow</t>
        </is>
      </c>
      <c r="D106" s="2" t="inlineStr">
        <is>
          <t>&gt;=5.4.0,&lt;13.0.0</t>
        </is>
      </c>
      <c r="E106" s="2" t="inlineStr">
        <is>
          <t>13.0.0</t>
        </is>
      </c>
      <c r="F106" s="2" t="inlineStr">
        <is>
          <t>MEDIUM</t>
        </is>
      </c>
      <c r="G106" s="2" t="inlineStr">
        <is>
          <t>6.9</t>
        </is>
      </c>
      <c r="H106" s="2" t="inlineStr">
        <is>
          <t>CVSS:4.0/AV:N/AC:L/AT:N/PR:N/UI:N/VC:N/VI:N/VA:L/SC:N/SI:N/SA:N/E:X/CR:X/IR:X/AR:X/MAV:X/MAC:X/MAT:X/MPR:X/MUI:X/MVC:X/MVI:X/MVA:X/MSC:X/MSI:X/MSA:X/S:X/AU:X/R:X/V:X/RE:X/U:X</t>
        </is>
      </c>
      <c r="I106" s="2" t="inlineStr">
        <is>
          <t>20261019</t>
        </is>
      </c>
      <c r="J106" s="2" t="inlineStr">
        <is>
          <t>20261021</t>
        </is>
      </c>
      <c r="K106" s="2" t="inlineStr">
        <is>
          <t>N</t>
        </is>
      </c>
      <c r="L106" s="2" t="inlineStr">
        <is>
          <t>Pillow is a Python imaging library. From 5.4.0 until 13.0.0, Pillow performs quadratic copying while parsing GIF comments. GifImageFile._seek() repeatedly appends immutable bytes for comment sub-blocks and multiple comment extensions, and frame zero is parsed during Image.open(). An attacker can submit a small-dimension GIF containing many comment extensions to any application that opens the file. This can consume excessive CPU and deny service before the application can inspect the image. This issue is fixed in version 13.0.0.</t>
        </is>
      </c>
      <c r="M106" s="2" t="inlineStr">
        <is>
          <t>https://github.com/python-pillow/Pillow/commit/68a3fe957d8a4d552e8c69d96066d749f0614c7e</t>
        </is>
      </c>
      <c r="N106" s="2" t="inlineStr">
        <is>
          <t>NVD+OSV+GHSA</t>
        </is>
      </c>
      <c r="O106" s="2" t="inlineStr">
        <is>
          <t>pypi</t>
        </is>
      </c>
      <c r="P106" s="2" t="inlineStr">
        <is>
          <t>20261025230840</t>
        </is>
      </c>
    </row>
    <row r="107">
      <c r="A107" s="2" t="inlineStr">
        <is>
          <t>CVE-2026-112891</t>
        </is>
      </c>
      <c r="B107" s="2" t="inlineStr">
        <is>
          <t>Pillow</t>
        </is>
      </c>
      <c r="C107" s="2" t="inlineStr">
        <is>
          <t>Python Pillow</t>
        </is>
      </c>
      <c r="D107" s="2" t="inlineStr">
        <is>
          <t>&gt;=9.2.0,&lt;13.0.0</t>
        </is>
      </c>
      <c r="E107" s="2" t="inlineStr">
        <is>
          <t>13.0.0</t>
        </is>
      </c>
      <c r="F107" s="2" t="inlineStr">
        <is>
          <t>MEDIUM</t>
        </is>
      </c>
      <c r="G107" s="2" t="inlineStr">
        <is>
          <t>6.9</t>
        </is>
      </c>
      <c r="H107" s="2" t="inlineStr">
        <is>
          <t>CVSS:4.0/AV:N/AC:L/AT:N/PR:N/UI:N/VC:N/VI:N/VA:L/SC:N/SI:N/SA:N/E:X/CR:X/IR:X/AR:X/MAV:X/MAC:X/MAT:X/MPR:X/MUI:X/MVC:X/MVI:X/MVA:X/MSC:X/MSI:X/MSA:X/S:X/AU:X/R:X/V:X/RE:X/U:X</t>
        </is>
      </c>
      <c r="I107" s="2" t="inlineStr">
        <is>
          <t>20261019</t>
        </is>
      </c>
      <c r="J107" s="2" t="inlineStr">
        <is>
          <t>20261021</t>
        </is>
      </c>
      <c r="K107" s="2" t="inlineStr">
        <is>
          <t>N</t>
        </is>
      </c>
      <c r="L107" s="2" t="inlineStr">
        <is>
          <t>Pillow is a Python imaging library. From 9.2.0 until 13.0.0, Pillow performs quadratic copying when saving a GIF with a long comment. _get_global_header() repeatedly copies portions of comment data while assembling the global header, including comments retained from an untrusted input image. An attacker can supply an image with a large GIF comment to an application that saves it as GIF. This can consume excessive CPU and delay or deny service. This issue is fixed in version 13.0.0.</t>
        </is>
      </c>
      <c r="M107" s="2" t="inlineStr">
        <is>
          <t>https://github.com/python-pillow/Pillow/commit/68a3fe957d8a4d552e8c69d96066d749f0614c7e</t>
        </is>
      </c>
      <c r="N107" s="2" t="inlineStr">
        <is>
          <t>NVD+OSV+GHSA</t>
        </is>
      </c>
      <c r="O107" s="2" t="inlineStr">
        <is>
          <t>pypi</t>
        </is>
      </c>
      <c r="P107" s="2" t="inlineStr">
        <is>
          <t>20261025230840</t>
        </is>
      </c>
    </row>
    <row r="108">
      <c r="A108" s="2" t="inlineStr">
        <is>
          <t>CVE-2026-112898</t>
        </is>
      </c>
      <c r="B108" s="2" t="inlineStr">
        <is>
          <t>Pillow</t>
        </is>
      </c>
      <c r="C108" s="2" t="inlineStr">
        <is>
          <t>Python Pillow</t>
        </is>
      </c>
      <c r="D108" s="2" t="inlineStr">
        <is>
          <t>&gt;=9.1.0,&lt;13.0.0</t>
        </is>
      </c>
      <c r="E108" s="2" t="inlineStr">
        <is>
          <t>13.0.0</t>
        </is>
      </c>
      <c r="F108" s="2" t="inlineStr">
        <is>
          <t>MEDIUM</t>
        </is>
      </c>
      <c r="G108" s="2" t="inlineStr">
        <is>
          <t>6.9</t>
        </is>
      </c>
      <c r="H108" s="2" t="inlineStr">
        <is>
          <t>CVSS:4.0/AV:N/AC:L/AT:N/PR:N/UI:N/VC:L/VI:N/VA:N/SC:N/SI:N/SA:N/E:X/CR:X/IR:X/AR:X/MAV:X/MAC:X/MAT:X/MPR:X/MUI:X/MVC:X/MVI:X/MVA:X/MSC:X/MSI:X/MSA:X/S:X/AU:X/R:X/V:X/RE:X/U:X</t>
        </is>
      </c>
      <c r="I108" s="2" t="inlineStr">
        <is>
          <t>20261019</t>
        </is>
      </c>
      <c r="J108" s="2" t="inlineStr">
        <is>
          <t>20261021</t>
        </is>
      </c>
      <c r="K108" s="2" t="inlineStr">
        <is>
          <t>N</t>
        </is>
      </c>
      <c r="L108" s="2" t="inlineStr">
        <is>
          <t>Pillow is a Python imaging library. From 9.1.0 until 13.0.0, Pillow can disclose uninitialized stack memory when Image.quantize() uses an empty palette. ImagingPaletteCacheUpdate() leaves a local cache array uninitialized when the palette has zero entries, and the conversion path emits those bytes as output pixel indices. An attacker who controls the palette image can obtain stack contents from a returned PNG or GIF. This can disclose addresses and stack-canary data without an out-of-bounds access, memory corruption, or process crash. This issue is fixed in version 13.0.0.</t>
        </is>
      </c>
      <c r="M108" s="2" t="inlineStr">
        <is>
          <t>https://github.com/python-pillow/Pillow/commit/13943c8f857b22f073d30f0ef9b725a0d255f1a4</t>
        </is>
      </c>
      <c r="N108" s="2" t="inlineStr">
        <is>
          <t>NVD+OSV+GHSA</t>
        </is>
      </c>
      <c r="O108" s="2" t="inlineStr">
        <is>
          <t>pypi</t>
        </is>
      </c>
      <c r="P108" s="2" t="inlineStr">
        <is>
          <t>20261025230840</t>
        </is>
      </c>
    </row>
    <row r="109">
      <c r="A109" s="2" t="inlineStr">
        <is>
          <t>CVE-2026-112901</t>
        </is>
      </c>
      <c r="B109" s="2" t="inlineStr">
        <is>
          <t>Pillow</t>
        </is>
      </c>
      <c r="C109" s="2" t="inlineStr">
        <is>
          <t>Python Pillow</t>
        </is>
      </c>
      <c r="D109" s="2" t="inlineStr">
        <is>
          <t>&lt;13.0.0</t>
        </is>
      </c>
      <c r="E109" s="2" t="inlineStr">
        <is>
          <t>13.0.0</t>
        </is>
      </c>
      <c r="F109" s="2" t="inlineStr">
        <is>
          <t>MEDIUM</t>
        </is>
      </c>
      <c r="G109" s="2" t="inlineStr">
        <is>
          <t>6.9</t>
        </is>
      </c>
      <c r="H109" s="2" t="inlineStr">
        <is>
          <t>CVSS:4.0/AV:N/AC:L/AT:N/PR:N/UI:N/VC:N/VI:N/VA:L/SC:N/SI:N/SA:N/E:X/CR:X/IR:X/AR:X/MAV:X/MAC:X/MAT:X/MPR:X/MUI:X/MVC:X/MVI:X/MVA:X/MSC:X/MSI:X/MSA:X/S:X/AU:X/R:X/V:X/RE:X/U:X</t>
        </is>
      </c>
      <c r="I109" s="2" t="inlineStr">
        <is>
          <t>20261019</t>
        </is>
      </c>
      <c r="J109" s="2" t="inlineStr">
        <is>
          <t>20261021</t>
        </is>
      </c>
      <c r="K109" s="2" t="inlineStr">
        <is>
          <t>N</t>
        </is>
      </c>
      <c r="L109" s="2" t="inlineStr">
        <is>
          <t>Pillow is a Python imaging library. Prior to 13.0.0, Pillow's XBM header parser is vulnerable to regular-expression denial of service. In XbmImageFile._open, when an application calls Image.open() on a small crafted XBM file, XbmImagePlugin applies a backtracking expression to the attacker-controlled header before image dimensions are accepted, stalling a worker for minutes and denying service. This issue is fixed in version 13.0.0.</t>
        </is>
      </c>
      <c r="M109" s="2" t="inlineStr">
        <is>
          <t>https://github.com/python-pillow/Pillow/commit/2852a3e3d568997ddec745fc800991f138878f4b</t>
        </is>
      </c>
      <c r="N109" s="2" t="inlineStr">
        <is>
          <t>NVD+OSV+GHSA</t>
        </is>
      </c>
      <c r="O109" s="2" t="inlineStr">
        <is>
          <t>pypi</t>
        </is>
      </c>
      <c r="P109" s="2" t="inlineStr">
        <is>
          <t>20261025230840</t>
        </is>
      </c>
    </row>
    <row r="110">
      <c r="A110" s="2" t="inlineStr">
        <is>
          <t>CVE-2026-59208</t>
        </is>
      </c>
      <c r="B110" s="2" t="inlineStr">
        <is>
          <t>n8n</t>
        </is>
      </c>
      <c r="C110" s="2" t="inlineStr">
        <is>
          <t>n8n</t>
        </is>
      </c>
      <c r="D110" s="2" t="inlineStr">
        <is>
          <t>&lt;2.27.4|==2.28.0</t>
        </is>
      </c>
      <c r="E110" s="2" t="inlineStr">
        <is>
          <t>2.27.4</t>
        </is>
      </c>
      <c r="F110" s="2" t="inlineStr">
        <is>
          <t>MEDIUM</t>
        </is>
      </c>
      <c r="G110" s="2" t="inlineStr">
        <is>
          <t>6.8</t>
        </is>
      </c>
      <c r="H110" s="2" t="inlineStr">
        <is>
          <t>CVSS:3.1/AV:N/AC:H/PR:L/UI:N/S:U/C:H/I:H/A:N</t>
        </is>
      </c>
      <c r="I110" s="2" t="inlineStr">
        <is>
          <t>20260709</t>
        </is>
      </c>
      <c r="J110" s="2" t="inlineStr">
        <is>
          <t>20261025</t>
        </is>
      </c>
      <c r="K110" s="2" t="inlineStr">
        <is>
          <t>N</t>
        </is>
      </c>
      <c r="L110" s="2" t="inlineStr">
        <is>
          <t>n8n is an open source workflow automation platform. Prior to 2.27.4 and from 2.28.0 prior to 2.28.1, n8n instances configured with more than one trusted token-exchange issuer resolved external identities to local accounts using only the JWT sub claim and ignored the iss claim, allowing an attacker with a valid token from one trusted issuer and a sub matching a victim under another issuer to authenticate as that victim. This issue is fixed in versions 2.27.4 and 2.28.1.</t>
        </is>
      </c>
      <c r="M110" s="2" t="inlineStr">
        <is>
          <t>https://github.com/n8n-io/n8n/security/advisories/GHSA-mq3m-f8x3-579w</t>
        </is>
      </c>
      <c r="N110" s="2" t="inlineStr">
        <is>
          <t>NVD</t>
        </is>
      </c>
      <c r="O110" s="2" t="inlineStr">
        <is>
          <t>npm</t>
        </is>
      </c>
      <c r="P110" s="2" t="inlineStr">
        <is>
          <t>20261025230753</t>
        </is>
      </c>
    </row>
    <row r="111">
      <c r="A111" s="2" t="inlineStr">
        <is>
          <t>CVE-2026-49090</t>
        </is>
      </c>
      <c r="B111" s="2" t="inlineStr">
        <is>
          <t>Elasticsearch</t>
        </is>
      </c>
      <c r="C111" s="2" t="inlineStr">
        <is>
          <t>elastic</t>
        </is>
      </c>
      <c r="D111" s="2" t="inlineStr">
        <is>
          <t>&gt;=7.0.0,&lt;7.17.24|&gt;=8.0.0,&lt;8.15.0</t>
        </is>
      </c>
      <c r="E111" s="2" t="inlineStr"/>
      <c r="F111" s="2" t="inlineStr">
        <is>
          <t>MEDIUM</t>
        </is>
      </c>
      <c r="G111" s="2" t="inlineStr">
        <is>
          <t>6.5</t>
        </is>
      </c>
      <c r="H111" s="2" t="inlineStr">
        <is>
          <t>CVSS:3.1/AV:N/AC:L/PR:L/UI:N/S:U/C:N/I:N/A:H</t>
        </is>
      </c>
      <c r="I111" s="2" t="inlineStr">
        <is>
          <t>20260701</t>
        </is>
      </c>
      <c r="J111" s="2" t="inlineStr">
        <is>
          <t>20261025</t>
        </is>
      </c>
      <c r="K111" s="2" t="inlineStr">
        <is>
          <t>N</t>
        </is>
      </c>
      <c r="L111" s="2" t="inlineStr">
        <is>
          <t>Uncontrolled Resource Consumption (CWE-400) in Elasticsearch can lead to a denial of service via Excessive Allocation (CAPEC-130). An authenticated user can submit a specially crafted bulk request that causes sustained high CPU consumption, which can render the affected node unable to process requests.</t>
        </is>
      </c>
      <c r="M111" s="2" t="inlineStr">
        <is>
          <t>https://discuss.elastic.co/t/elasticsearch-7-17-24-8-15-0-security-update-esa-2026-52</t>
        </is>
      </c>
      <c r="N111" s="2" t="inlineStr">
        <is>
          <t>NVD</t>
        </is>
      </c>
      <c r="O111" s="2" t="inlineStr">
        <is>
          <t>pypi</t>
        </is>
      </c>
      <c r="P111" s="2" t="inlineStr">
        <is>
          <t>20261025230753</t>
        </is>
      </c>
    </row>
    <row r="112">
      <c r="A112" s="2" t="inlineStr">
        <is>
          <t>CVE-2026-56145</t>
        </is>
      </c>
      <c r="B112" s="2" t="inlineStr">
        <is>
          <t>Elasticsearch</t>
        </is>
      </c>
      <c r="C112" s="2" t="inlineStr">
        <is>
          <t>elastic</t>
        </is>
      </c>
      <c r="D112" s="2" t="inlineStr">
        <is>
          <t>&gt;=8.0.0,&lt;8.19.18|&gt;=9.0.0,&lt;9.3.7|&gt;=9.4.0,&lt;9.4.4</t>
        </is>
      </c>
      <c r="E112" s="2" t="inlineStr"/>
      <c r="F112" s="2" t="inlineStr">
        <is>
          <t>MEDIUM</t>
        </is>
      </c>
      <c r="G112" s="2" t="inlineStr">
        <is>
          <t>6.5</t>
        </is>
      </c>
      <c r="H112" s="2" t="inlineStr">
        <is>
          <t>CVSS:3.1/AV:N/AC:L/PR:L/UI:N/S:U/C:N/I:N/A:H</t>
        </is>
      </c>
      <c r="I112" s="2" t="inlineStr">
        <is>
          <t>20260721</t>
        </is>
      </c>
      <c r="J112" s="2" t="inlineStr">
        <is>
          <t>20261024</t>
        </is>
      </c>
      <c r="K112" s="2" t="inlineStr">
        <is>
          <t>N</t>
        </is>
      </c>
      <c r="L112" s="2" t="inlineStr">
        <is>
          <t>Uncontrolled Resource Consumption (CWE-400) in Elasticsearch can lead to denial of service via Excessive Allocation (CAPEC-130). A low-privileged authenticated user with permission to execute EQL sequence queries against an index they control can send a specially crafted query that triggers excessive memory consumption, causing the Elasticsearch node to crash.</t>
        </is>
      </c>
      <c r="M112" s="2" t="inlineStr">
        <is>
          <t>https://discuss.elastic.co/t/elasticsearch-8-19-18-9-3-7-9-4-4-security-update-esa-2026-57/388556</t>
        </is>
      </c>
      <c r="N112" s="2" t="inlineStr">
        <is>
          <t>NVD</t>
        </is>
      </c>
      <c r="O112" s="2" t="inlineStr">
        <is>
          <t>pypi</t>
        </is>
      </c>
      <c r="P112" s="2" t="inlineStr">
        <is>
          <t>20261025230753</t>
        </is>
      </c>
    </row>
    <row r="113">
      <c r="A113" s="2" t="inlineStr">
        <is>
          <t>CVE-2026-56148</t>
        </is>
      </c>
      <c r="B113" s="2" t="inlineStr">
        <is>
          <t>Elasticsearch</t>
        </is>
      </c>
      <c r="C113" s="2" t="inlineStr">
        <is>
          <t>elastic</t>
        </is>
      </c>
      <c r="D113" s="2" t="inlineStr">
        <is>
          <t>&gt;=8.0.0,&lt;8.19.17|&gt;=9.0.0,&lt;9.3.6|&gt;=9.4.0,&lt;9.4.3</t>
        </is>
      </c>
      <c r="E113" s="2" t="inlineStr"/>
      <c r="F113" s="2" t="inlineStr">
        <is>
          <t>MEDIUM</t>
        </is>
      </c>
      <c r="G113" s="2" t="inlineStr">
        <is>
          <t>6.5</t>
        </is>
      </c>
      <c r="H113" s="2" t="inlineStr">
        <is>
          <t>CVSS:3.1/AV:N/AC:L/PR:L/UI:N/S:U/C:N/I:N/A:H</t>
        </is>
      </c>
      <c r="I113" s="2" t="inlineStr">
        <is>
          <t>20260701</t>
        </is>
      </c>
      <c r="J113" s="2" t="inlineStr">
        <is>
          <t>20261025</t>
        </is>
      </c>
      <c r="K113" s="2" t="inlineStr">
        <is>
          <t>N</t>
        </is>
      </c>
      <c r="L113" s="2" t="inlineStr">
        <is>
          <t>Uncontrolled Recursion (CWE-674) in Elasticsearch can lead to a denial of service via Excessive Allocation (CAPEC-130). An authenticated user can submit a specially crafted query that causes excessive resource consumption while the request is processed, which may render the affected node unavailable.</t>
        </is>
      </c>
      <c r="M113" s="2" t="inlineStr">
        <is>
          <t>https://discuss.elastic.co/t/elasticsearch-8-19-17-9-3-6-9-4-3-security-update-esa-2026-42</t>
        </is>
      </c>
      <c r="N113" s="2" t="inlineStr">
        <is>
          <t>NVD</t>
        </is>
      </c>
      <c r="O113" s="2" t="inlineStr">
        <is>
          <t>pypi</t>
        </is>
      </c>
      <c r="P113" s="2" t="inlineStr">
        <is>
          <t>20261025230753</t>
        </is>
      </c>
    </row>
    <row r="114">
      <c r="A114" s="2" t="inlineStr">
        <is>
          <t>CVE-2026-63136</t>
        </is>
      </c>
      <c r="B114" s="2" t="inlineStr">
        <is>
          <t>Elasticsearch</t>
        </is>
      </c>
      <c r="C114" s="2" t="inlineStr">
        <is>
          <t>elastic</t>
        </is>
      </c>
      <c r="D114" s="2" t="inlineStr">
        <is>
          <t>&gt;=8.0.0,&lt;8.19.15|&gt;=9.0.0,&lt;9.2.9|&gt;=9.3.0,&lt;9.3.4</t>
        </is>
      </c>
      <c r="E114" s="2" t="inlineStr"/>
      <c r="F114" s="2" t="inlineStr">
        <is>
          <t>MEDIUM</t>
        </is>
      </c>
      <c r="G114" s="2" t="inlineStr">
        <is>
          <t>6.5</t>
        </is>
      </c>
      <c r="H114" s="2" t="inlineStr">
        <is>
          <t>CVSS:3.1/AV:N/AC:L/PR:L/UI:N/S:U/C:N/I:N/A:H</t>
        </is>
      </c>
      <c r="I114" s="2" t="inlineStr">
        <is>
          <t>20260721</t>
        </is>
      </c>
      <c r="J114" s="2" t="inlineStr">
        <is>
          <t>20261024</t>
        </is>
      </c>
      <c r="K114" s="2" t="inlineStr">
        <is>
          <t>N</t>
        </is>
      </c>
      <c r="L114" s="2" t="inlineStr">
        <is>
          <t>Uncontrolled Resource Consumption (CWE-400) in Elasticsearch can lead to denial of service via Excessive Allocation (CAPEC-130). A user with search privileges can submit a specially crafted search request that causes a data node to exhaust available heap memory, resulting in node unavailability and cluster degradation. An attacker could leverage this vulnerability to cause cluster downtime requiring manual intervention to restore service.</t>
        </is>
      </c>
      <c r="M114" s="2" t="inlineStr">
        <is>
          <t>https://discuss.elastic.co/t/elasticsearch-8-19-15-9-2-9-9-3-4-security-update-esa-2026-60/388559</t>
        </is>
      </c>
      <c r="N114" s="2" t="inlineStr">
        <is>
          <t>NVD</t>
        </is>
      </c>
      <c r="O114" s="2" t="inlineStr">
        <is>
          <t>pypi</t>
        </is>
      </c>
      <c r="P114" s="2" t="inlineStr">
        <is>
          <t>20261025230753</t>
        </is>
      </c>
    </row>
    <row r="115">
      <c r="A115" s="2" t="inlineStr">
        <is>
          <t>CVE-2026-63140</t>
        </is>
      </c>
      <c r="B115" s="2" t="inlineStr">
        <is>
          <t>Elasticsearch</t>
        </is>
      </c>
      <c r="C115" s="2" t="inlineStr">
        <is>
          <t>elastic</t>
        </is>
      </c>
      <c r="D115" s="2" t="inlineStr">
        <is>
          <t>&gt;=8.0.0,&lt;8.19.19|&gt;=9.0.0,&lt;9.3.8|&gt;=9.4.0,&lt;9.4.4</t>
        </is>
      </c>
      <c r="E115" s="2" t="inlineStr"/>
      <c r="F115" s="2" t="inlineStr">
        <is>
          <t>MEDIUM</t>
        </is>
      </c>
      <c r="G115" s="2" t="inlineStr">
        <is>
          <t>6.5</t>
        </is>
      </c>
      <c r="H115" s="2" t="inlineStr">
        <is>
          <t>CVSS:3.1/AV:N/AC:L/PR:L/UI:N/S:U/C:N/I:N/A:H</t>
        </is>
      </c>
      <c r="I115" s="2" t="inlineStr">
        <is>
          <t>20260721</t>
        </is>
      </c>
      <c r="J115" s="2" t="inlineStr">
        <is>
          <t>20261024</t>
        </is>
      </c>
      <c r="K115" s="2" t="inlineStr">
        <is>
          <t>N</t>
        </is>
      </c>
      <c r="L115" s="2" t="inlineStr">
        <is>
          <t>Reachable Assertion (CWE-617) in Elasticsearch can lead to denial of service via Input Data Manipulation (CAPEC-153). A specially crafted search request containing a null value in a specific query clause causes an internal assertion to be raised during query parsing. Because Elasticsearch treats assertion failures as fatal errors, this terminates the affected node process. A low-privileged authenticated user with read access to at least one index can exploit this condition with a single request to cause a node to terminate, disrupting search availability. In a single-node deployment this fully stops Elasticsearch; in a multi-node cluster it reduces cluster capacity for each affected node.</t>
        </is>
      </c>
      <c r="M115" s="2" t="inlineStr">
        <is>
          <t>https://discuss.elastic.co/t/elasticsearch-8-19-19-9-3-8-9-4-4-security-update-esa-2026-64/388565</t>
        </is>
      </c>
      <c r="N115" s="2" t="inlineStr">
        <is>
          <t>NVD</t>
        </is>
      </c>
      <c r="O115" s="2" t="inlineStr">
        <is>
          <t>pypi</t>
        </is>
      </c>
      <c r="P115" s="2" t="inlineStr">
        <is>
          <t>20261025230753</t>
        </is>
      </c>
    </row>
    <row r="116">
      <c r="A116" s="2" t="inlineStr">
        <is>
          <t>CVE-2026-63144</t>
        </is>
      </c>
      <c r="B116" s="2" t="inlineStr">
        <is>
          <t>Elasticsearch</t>
        </is>
      </c>
      <c r="C116" s="2" t="inlineStr">
        <is>
          <t>elastic</t>
        </is>
      </c>
      <c r="D116" s="2" t="inlineStr">
        <is>
          <t>&gt;=8.19.0,&lt;8.19.19|&gt;=9.3.0,&lt;9.3.8|&gt;=9.4.0,&lt;9.4.4</t>
        </is>
      </c>
      <c r="E116" s="2" t="inlineStr"/>
      <c r="F116" s="2" t="inlineStr">
        <is>
          <t>MEDIUM</t>
        </is>
      </c>
      <c r="G116" s="2" t="inlineStr">
        <is>
          <t>6.5</t>
        </is>
      </c>
      <c r="H116" s="2" t="inlineStr">
        <is>
          <t>CVSS:3.1/AV:N/AC:L/PR:L/UI:N/S:U/C:N/I:N/A:H</t>
        </is>
      </c>
      <c r="I116" s="2" t="inlineStr">
        <is>
          <t>20260721</t>
        </is>
      </c>
      <c r="J116" s="2" t="inlineStr">
        <is>
          <t>20261024</t>
        </is>
      </c>
      <c r="K116" s="2" t="inlineStr">
        <is>
          <t>N</t>
        </is>
      </c>
      <c r="L116" s="2" t="inlineStr">
        <is>
          <t>Uncontrolled Recursion (CWE-674) in Elasticsearch can lead to denial of service via a specially crafted search request submitted by a low-privileged authenticated user. A user with read-level index access can submit a request that triggers unbounded recursive processing within the Elasticsearch query evaluation component, causing a fatal error that terminates the affected node. In single-node deployments, this results in complete service outage; in multi-node clusters, it causes repeated node restarts and sustained availability degradation.</t>
        </is>
      </c>
      <c r="M116" s="2" t="inlineStr">
        <is>
          <t>https://discuss.elastic.co/t/elasticsearch-8-19-19-9-3-8-9-4-4-security-update-esa-2026-68/388571</t>
        </is>
      </c>
      <c r="N116" s="2" t="inlineStr">
        <is>
          <t>NVD</t>
        </is>
      </c>
      <c r="O116" s="2" t="inlineStr">
        <is>
          <t>pypi</t>
        </is>
      </c>
      <c r="P116" s="2" t="inlineStr">
        <is>
          <t>20261025230753</t>
        </is>
      </c>
    </row>
    <row r="117">
      <c r="A117" s="2" t="inlineStr">
        <is>
          <t>CVE-2026-63263</t>
        </is>
      </c>
      <c r="B117" s="2" t="inlineStr">
        <is>
          <t>Elasticsearch</t>
        </is>
      </c>
      <c r="C117" s="2" t="inlineStr">
        <is>
          <t>elastic</t>
        </is>
      </c>
      <c r="D117" s="2" t="inlineStr">
        <is>
          <t>&gt;=8.0.0,&lt;8.19.19|&gt;=9.0.0,&lt;9.3.8|&gt;=9.4.0,&lt;9.4.4</t>
        </is>
      </c>
      <c r="E117" s="2" t="inlineStr"/>
      <c r="F117" s="2" t="inlineStr">
        <is>
          <t>MEDIUM</t>
        </is>
      </c>
      <c r="G117" s="2" t="inlineStr">
        <is>
          <t>6.5</t>
        </is>
      </c>
      <c r="H117" s="2" t="inlineStr">
        <is>
          <t>CVSS:3.1/AV:N/AC:L/PR:L/UI:N/S:U/C:N/I:N/A:H</t>
        </is>
      </c>
      <c r="I117" s="2" t="inlineStr">
        <is>
          <t>20260722</t>
        </is>
      </c>
      <c r="J117" s="2" t="inlineStr">
        <is>
          <t>20261024</t>
        </is>
      </c>
      <c r="K117" s="2" t="inlineStr">
        <is>
          <t>N</t>
        </is>
      </c>
      <c r="L117" s="2" t="inlineStr">
        <is>
          <t>Uncontrolled Resource Consumption (CWE-400) in Elasticsearch can lead to denial of service via Exponential Data Expansion (CAPEC-197). An authenticated user may submit a specially crafted query to the ES|QL engine that causes exponential CPU consumption during query evaluation. Because the resource exhaustion persists beyond query completion, repeated requests can fully exhaust the available query worker resources, rendering ES|QL queries unavailable until the node is restarted.</t>
        </is>
      </c>
      <c r="M117" s="2" t="inlineStr">
        <is>
          <t>https://discuss.elastic.co/t/elasticsearch-8-19-19-9-3-8-9-4-4-security-update-esa-2026-74/388577</t>
        </is>
      </c>
      <c r="N117" s="2" t="inlineStr">
        <is>
          <t>NVD</t>
        </is>
      </c>
      <c r="O117" s="2" t="inlineStr">
        <is>
          <t>pypi</t>
        </is>
      </c>
      <c r="P117" s="2" t="inlineStr">
        <is>
          <t>20261025230753</t>
        </is>
      </c>
    </row>
    <row r="118">
      <c r="A118" s="2" t="inlineStr">
        <is>
          <t>CVE-2026-43630</t>
        </is>
      </c>
      <c r="B118" s="2" t="inlineStr">
        <is>
          <t>llama.cpp</t>
        </is>
      </c>
      <c r="C118" s="2" t="inlineStr">
        <is>
          <t>ggml</t>
        </is>
      </c>
      <c r="D118" s="2" t="inlineStr">
        <is>
          <t>&gt;=b5702,&lt;=b7653</t>
        </is>
      </c>
      <c r="E118" s="2" t="inlineStr"/>
      <c r="F118" s="2" t="inlineStr">
        <is>
          <t>MEDIUM</t>
        </is>
      </c>
      <c r="G118" s="2" t="inlineStr">
        <is>
          <t>6.5</t>
        </is>
      </c>
      <c r="H118" s="2" t="inlineStr">
        <is>
          <t>CVSS:3.1/AV:N/AC:L/PR:N/UI:N/S:U/C:L/I:N/A:L</t>
        </is>
      </c>
      <c r="I118" s="2" t="inlineStr">
        <is>
          <t>20260806</t>
        </is>
      </c>
      <c r="J118" s="2" t="inlineStr">
        <is>
          <t>20261022</t>
        </is>
      </c>
      <c r="K118" s="2" t="inlineStr">
        <is>
          <t>N</t>
        </is>
      </c>
      <c r="L118" s="2" t="inlineStr">
        <is>
          <t>llama.cpp builds b4882 before b8487 contain an out-of-bounds read vulnerability in the recurrent memory state restore path that allows attackers with write access to the slot save directory to read memory past the end of the allocated cells array. Attackers can craft a malicious slot file with an oversized seq_id value to trigger an out-of-bounds read that leaks heap data including pointer values into server logs, defeating ASLR protections and facilitating further exploitation.</t>
        </is>
      </c>
      <c r="M118" s="2" t="inlineStr">
        <is>
          <t>https://github.com/Vladimir-tokarev-cyera/llama-cpp-security-patches</t>
        </is>
      </c>
      <c r="N118" s="2" t="inlineStr">
        <is>
          <t>NVD</t>
        </is>
      </c>
      <c r="O118" s="2" t="inlineStr">
        <is>
          <t>github</t>
        </is>
      </c>
      <c r="P118" s="2" t="inlineStr">
        <is>
          <t>20261025230753</t>
        </is>
      </c>
    </row>
    <row r="119">
      <c r="A119" s="2" t="inlineStr">
        <is>
          <t>CVE-2026-115886</t>
        </is>
      </c>
      <c r="B119" s="2" t="inlineStr">
        <is>
          <t>MLflow</t>
        </is>
      </c>
      <c r="C119" s="2" t="inlineStr">
        <is>
          <t>Databricks</t>
        </is>
      </c>
      <c r="D119" s="2" t="inlineStr">
        <is>
          <t>&gt;=3.12.0rc0,&lt;3.17.0</t>
        </is>
      </c>
      <c r="E119" s="2" t="inlineStr">
        <is>
          <t>3.17.0</t>
        </is>
      </c>
      <c r="F119" s="2" t="inlineStr">
        <is>
          <t>MEDIUM</t>
        </is>
      </c>
      <c r="G119" s="2" t="inlineStr">
        <is>
          <t>6.5</t>
        </is>
      </c>
      <c r="H119" s="2" t="inlineStr">
        <is>
          <t>CVSS:3.1/AV:N/AC:L/PR:N/UI:N/S:U/C:L/I:L/A:N</t>
        </is>
      </c>
      <c r="I119" s="2" t="inlineStr">
        <is>
          <t>20261023</t>
        </is>
      </c>
      <c r="J119" s="2" t="inlineStr">
        <is>
          <t>20261023</t>
        </is>
      </c>
      <c r="K119" s="2" t="inlineStr">
        <is>
          <t>N</t>
        </is>
      </c>
      <c r="L119" s="2" t="inlineStr">
        <is>
          <t>MLflow is an open source AI engineering platform for agents, large language models, and machine learning models. From 3.12.0rc0 until 3.17.0, the scorer invoke, register, and GenAI evaluate endpoints, including unauthenticated POST /ajax-api/3.0/mlflow/scorer/invoke, accept serialized third-party scorer data that Scorer.model_validate_json resolves using a module-path allowlist without constraining the selected class or its constructor arguments. When optional trulens and trulens-providers-litellm packages are installed, an attacker can select mlflow.genai.scorers.trulens, choose a model URI outside MLflow's native provider registry so execution uses the LiteLLM fallback, and supply api_base and api_key values that cause the server to send an outbound request to an attacker-chosen or internal host with attacker-controlled headers and body. The vulnerable deserialization occurs before a tracking-store lookup or job submission. This issue is fixed in version 3.17.0.</t>
        </is>
      </c>
      <c r="M119" s="2" t="inlineStr">
        <is>
          <t>https://github.com/mlflow/mlflow/commit/bac30b4148c4f40045b4d4db07ae60ab3838803f</t>
        </is>
      </c>
      <c r="N119" s="2" t="inlineStr">
        <is>
          <t>NVD+OSV+GHSA</t>
        </is>
      </c>
      <c r="O119" s="2" t="inlineStr">
        <is>
          <t>pypi</t>
        </is>
      </c>
      <c r="P119" s="2" t="inlineStr">
        <is>
          <t>20261025230840</t>
        </is>
      </c>
    </row>
    <row r="120">
      <c r="A120" s="2" t="inlineStr">
        <is>
          <t>CVE-2026-59207</t>
        </is>
      </c>
      <c r="B120" s="2" t="inlineStr">
        <is>
          <t>n8n</t>
        </is>
      </c>
      <c r="C120" s="2" t="inlineStr">
        <is>
          <t>n8n</t>
        </is>
      </c>
      <c r="D120" s="2" t="inlineStr">
        <is>
          <t>&lt;2.27.4|==2.28.0</t>
        </is>
      </c>
      <c r="E120" s="2" t="inlineStr">
        <is>
          <t>2.27.4</t>
        </is>
      </c>
      <c r="F120" s="2" t="inlineStr">
        <is>
          <t>MEDIUM</t>
        </is>
      </c>
      <c r="G120" s="2" t="inlineStr">
        <is>
          <t>6.5</t>
        </is>
      </c>
      <c r="H120" s="2" t="inlineStr">
        <is>
          <t>CVSS:3.1/AV:N/AC:L/PR:L/UI:N/S:U/C:H/I:N/A:N</t>
        </is>
      </c>
      <c r="I120" s="2" t="inlineStr">
        <is>
          <t>20260709</t>
        </is>
      </c>
      <c r="J120" s="2" t="inlineStr">
        <is>
          <t>20261025</t>
        </is>
      </c>
      <c r="K120" s="2" t="inlineStr">
        <is>
          <t>N</t>
        </is>
      </c>
      <c r="L120" s="2" t="inlineStr">
        <is>
          <t>n8n is an open source workflow automation platform. Prior to 2.27.4 and 2.28.1, the AI Agents feature did not enforce the Allowed HTTP Request Domains restriction configured on credentials when an MCP tool was pointed at an arbitrary URL, allowing a member-level user with use-only access to a shared credential to send its secret to an external server they control. This issue is fixed in versions 2.27.4 and 2.28.1.</t>
        </is>
      </c>
      <c r="M120" s="2" t="inlineStr">
        <is>
          <t>https://github.com/n8n-io/n8n/security/advisories/GHSA-h44j-f5r5-ph73</t>
        </is>
      </c>
      <c r="N120" s="2" t="inlineStr">
        <is>
          <t>NVD</t>
        </is>
      </c>
      <c r="O120" s="2" t="inlineStr">
        <is>
          <t>npm</t>
        </is>
      </c>
      <c r="P120" s="2" t="inlineStr">
        <is>
          <t>20261025230753</t>
        </is>
      </c>
    </row>
    <row r="121">
      <c r="A121" s="2" t="inlineStr">
        <is>
          <t>CVE-2026-59209</t>
        </is>
      </c>
      <c r="B121" s="2" t="inlineStr">
        <is>
          <t>n8n</t>
        </is>
      </c>
      <c r="C121" s="2" t="inlineStr">
        <is>
          <t>n8n</t>
        </is>
      </c>
      <c r="D121" s="2" t="inlineStr">
        <is>
          <t>&lt;1.123.61|&gt;=2.0.0,&lt;2.27.4|==2.28.0</t>
        </is>
      </c>
      <c r="E121" s="2" t="inlineStr"/>
      <c r="F121" s="2" t="inlineStr">
        <is>
          <t>MEDIUM</t>
        </is>
      </c>
      <c r="G121" s="2" t="inlineStr">
        <is>
          <t>6.5</t>
        </is>
      </c>
      <c r="H121" s="2" t="inlineStr">
        <is>
          <t>CVSS:3.1/AV:N/AC:L/PR:L/UI:N/S:U/C:H/I:N/A:N</t>
        </is>
      </c>
      <c r="I121" s="2" t="inlineStr">
        <is>
          <t>20260709</t>
        </is>
      </c>
      <c r="J121" s="2" t="inlineStr">
        <is>
          <t>20261025</t>
        </is>
      </c>
      <c r="K121" s="2" t="inlineStr">
        <is>
          <t>N</t>
        </is>
      </c>
      <c r="L121" s="2" t="inlineStr">
        <is>
          <t>n8n is an open source workflow automation platform. Prior to 1.123.61, 2.27.4, and, 2.28.1, an authenticated member with use-only editor access to a shared workflow could read credential-populated headers exposed via the $request object inside an HTTP Request node's pagination expression and exfiltrate the secret through item data. This issue is fixed in versions 1.123.61, 2.27.4, and 2.28.1.</t>
        </is>
      </c>
      <c r="M121" s="2" t="inlineStr">
        <is>
          <t>https://github.com/n8n-io/n8n/security/advisories/GHSA-q3j5-8vrg-4p9q</t>
        </is>
      </c>
      <c r="N121" s="2" t="inlineStr">
        <is>
          <t>NVD</t>
        </is>
      </c>
      <c r="O121" s="2" t="inlineStr">
        <is>
          <t>npm</t>
        </is>
      </c>
      <c r="P121" s="2" t="inlineStr">
        <is>
          <t>20261025230753</t>
        </is>
      </c>
    </row>
    <row r="122">
      <c r="A122" s="2" t="inlineStr">
        <is>
          <t>CVE-2026-59259</t>
        </is>
      </c>
      <c r="B122" s="2" t="inlineStr">
        <is>
          <t>n8n</t>
        </is>
      </c>
      <c r="C122" s="2" t="inlineStr">
        <is>
          <t>n8n</t>
        </is>
      </c>
      <c r="D122" s="2" t="inlineStr">
        <is>
          <t>&lt;1.123.61|&gt;=2.0.0,&lt;2.27.4|==2.28.0</t>
        </is>
      </c>
      <c r="E122" s="2" t="inlineStr"/>
      <c r="F122" s="2" t="inlineStr">
        <is>
          <t>MEDIUM</t>
        </is>
      </c>
      <c r="G122" s="2" t="inlineStr">
        <is>
          <t>6.5</t>
        </is>
      </c>
      <c r="H122" s="2" t="inlineStr">
        <is>
          <t>CVSS:3.1/AV:N/AC:L/PR:L/UI:N/S:U/C:H/I:N/A:N</t>
        </is>
      </c>
      <c r="I122" s="2" t="inlineStr">
        <is>
          <t>20260715</t>
        </is>
      </c>
      <c r="J122" s="2" t="inlineStr">
        <is>
          <t>20261024</t>
        </is>
      </c>
      <c r="K122" s="2" t="inlineStr">
        <is>
          <t>N</t>
        </is>
      </c>
      <c r="L122" s="2" t="inlineStr">
        <is>
          <t>n8n before versions 1.123.61, 2.27.4, and 2.28.1 contains a permission bypass vulnerability in external secrets handling caused by a mismatch between the static validation check and the runtime expression engine. An authenticated user with credential create or update permissions but without the externalSecret:list scope can embed external secret references into credentials in forms the static validation does not detect; these references resolve at workflow execution time, exposing secret values the user is not authorized to access. This issue only affects instances where an external secrets provider is configured and Advanced Permissions are in use.</t>
        </is>
      </c>
      <c r="M122" s="2" t="inlineStr">
        <is>
          <t>https://github.com/n8n-io/n8n/security/advisories/GHSA-jp7m-xcgx-57qm</t>
        </is>
      </c>
      <c r="N122" s="2" t="inlineStr">
        <is>
          <t>NVD</t>
        </is>
      </c>
      <c r="O122" s="2" t="inlineStr">
        <is>
          <t>npm</t>
        </is>
      </c>
      <c r="P122" s="2" t="inlineStr">
        <is>
          <t>20261025230753</t>
        </is>
      </c>
    </row>
    <row r="123">
      <c r="A123" s="2" t="inlineStr">
        <is>
          <t>CVE-2026-65589</t>
        </is>
      </c>
      <c r="B123" s="2" t="inlineStr">
        <is>
          <t>n8n</t>
        </is>
      </c>
      <c r="C123" s="2" t="inlineStr">
        <is>
          <t>n8n</t>
        </is>
      </c>
      <c r="D123" s="2" t="inlineStr">
        <is>
          <t>&lt;1.123.64|&gt;=2.0.0,&lt;2.29.8|==2.30.0</t>
        </is>
      </c>
      <c r="E123" s="2" t="inlineStr"/>
      <c r="F123" s="2" t="inlineStr">
        <is>
          <t>MEDIUM</t>
        </is>
      </c>
      <c r="G123" s="2" t="inlineStr">
        <is>
          <t>6.5</t>
        </is>
      </c>
      <c r="H123" s="2" t="inlineStr">
        <is>
          <t>CVSS:3.1/AV:N/AC:L/PR:L/UI:N/S:U/C:H/I:N/A:N</t>
        </is>
      </c>
      <c r="I123" s="2" t="inlineStr">
        <is>
          <t>20260722</t>
        </is>
      </c>
      <c r="J123" s="2" t="inlineStr">
        <is>
          <t>20261024</t>
        </is>
      </c>
      <c r="K123" s="2" t="inlineStr">
        <is>
          <t>N</t>
        </is>
      </c>
      <c r="L123" s="2" t="inlineStr">
        <is>
          <t>n8n versions before 1.123.64 fail to properly mask custom HTTP header credentials in LLM sub-node execution data, writing plaintext API keys and secrets to workflow execution records. Authenticated users with access to execution data can read exposed header values and credentials that persist in the database and can be exported.</t>
        </is>
      </c>
      <c r="M123" s="2" t="inlineStr">
        <is>
          <t>https://github.com/n8n-io/n8n/security/advisories/GHSA-89gh-3pgc-v5h2</t>
        </is>
      </c>
      <c r="N123" s="2" t="inlineStr">
        <is>
          <t>NVD</t>
        </is>
      </c>
      <c r="O123" s="2" t="inlineStr">
        <is>
          <t>npm</t>
        </is>
      </c>
      <c r="P123" s="2" t="inlineStr">
        <is>
          <t>20261025230753</t>
        </is>
      </c>
    </row>
    <row r="124">
      <c r="A124" s="2" t="inlineStr">
        <is>
          <t>CVE-2026-65594</t>
        </is>
      </c>
      <c r="B124" s="2" t="inlineStr">
        <is>
          <t>n8n</t>
        </is>
      </c>
      <c r="C124" s="2" t="inlineStr">
        <is>
          <t>n8n</t>
        </is>
      </c>
      <c r="D124" s="2" t="inlineStr">
        <is>
          <t>&gt;=2.27.0,&lt;2.29.8|==2.30.0</t>
        </is>
      </c>
      <c r="E124" s="2" t="inlineStr">
        <is>
          <t>2.29.8</t>
        </is>
      </c>
      <c r="F124" s="2" t="inlineStr">
        <is>
          <t>MEDIUM</t>
        </is>
      </c>
      <c r="G124" s="2" t="inlineStr">
        <is>
          <t>6.5</t>
        </is>
      </c>
      <c r="H124" s="2" t="inlineStr">
        <is>
          <t>CVSS:3.1/AV:N/AC:L/PR:L/UI:N/S:U/C:H/I:N/A:N</t>
        </is>
      </c>
      <c r="I124" s="2" t="inlineStr">
        <is>
          <t>20260722</t>
        </is>
      </c>
      <c r="J124" s="2" t="inlineStr">
        <is>
          <t>20261024</t>
        </is>
      </c>
      <c r="K124" s="2" t="inlineStr">
        <is>
          <t>N</t>
        </is>
      </c>
      <c r="L124" s="2" t="inlineStr">
        <is>
          <t>n8n before 2.29.8 and 2.30.x before 2.30.1 (affected from 2.27.0, when the OAuth 2.1 consent and token-issuance flow was introduced) does not verify that the authenticated user has access to the workflow referenced as the OAuth resource. On instances with at least one active MCP Server Trigger workflow configured with n8n OAuth2 authentication, a member-level user can register an OAuth client, self-approve consent for another user's workflow, and obtain a valid token. The workflow then runs in the owner's project context with the owner's stored credentials, and the attacker can set tool inputs and read outputs (potentially including data from the owner's connected integrations), breaking user and project isolation.</t>
        </is>
      </c>
      <c r="M124" s="2" t="inlineStr">
        <is>
          <t>https://github.com/n8n-io/n8n/security/advisories/GHSA-q5xf-xhwf-cwqf</t>
        </is>
      </c>
      <c r="N124" s="2" t="inlineStr">
        <is>
          <t>NVD</t>
        </is>
      </c>
      <c r="O124" s="2" t="inlineStr">
        <is>
          <t>npm</t>
        </is>
      </c>
      <c r="P124" s="2" t="inlineStr">
        <is>
          <t>20261025230753</t>
        </is>
      </c>
    </row>
    <row r="125">
      <c r="A125" s="2" t="inlineStr">
        <is>
          <t>CVE-2026-65599</t>
        </is>
      </c>
      <c r="B125" s="2" t="inlineStr">
        <is>
          <t>n8n</t>
        </is>
      </c>
      <c r="C125" s="2" t="inlineStr">
        <is>
          <t>n8n</t>
        </is>
      </c>
      <c r="D125" s="2" t="inlineStr">
        <is>
          <t>&lt;1.123.64|&gt;=2.0.0,&lt;2.29.8|==2.30.0</t>
        </is>
      </c>
      <c r="E125" s="2" t="inlineStr"/>
      <c r="F125" s="2" t="inlineStr">
        <is>
          <t>MEDIUM</t>
        </is>
      </c>
      <c r="G125" s="2" t="inlineStr">
        <is>
          <t>6.5</t>
        </is>
      </c>
      <c r="H125" s="2" t="inlineStr">
        <is>
          <t>CVSS:3.1/AV:N/AC:L/PR:L/UI:N/S:U/C:H/I:N/A:N</t>
        </is>
      </c>
      <c r="I125" s="2" t="inlineStr">
        <is>
          <t>20260722</t>
        </is>
      </c>
      <c r="J125" s="2" t="inlineStr">
        <is>
          <t>20261024</t>
        </is>
      </c>
      <c r="K125" s="2" t="inlineStr">
        <is>
          <t>N</t>
        </is>
      </c>
      <c r="L125" s="2" t="inlineStr">
        <is>
          <t>n8n versions before 1.123.64, 2.29.8, and 2.30.1 contain a credential exposure vulnerability: when configured with a Google Service Account key, the full PEM private key was mistakenly placed in the JWT header's kid field (intended only for a key identifier). Because JWT headers are Base64-encoded rather than encrypted, the private key could be recovered by anything that logged or inspected the JWT. An attacker who obtained the key could impersonate the service account and access or modify any Google Cloud resource it was authorized to use. Only instances using Google Service Account credentials are affected.</t>
        </is>
      </c>
      <c r="M125" s="2" t="inlineStr">
        <is>
          <t>https://github.com/n8n-io/n8n/security/advisories/GHSA-9r8p-h6cc-6qhm</t>
        </is>
      </c>
      <c r="N125" s="2" t="inlineStr">
        <is>
          <t>NVD</t>
        </is>
      </c>
      <c r="O125" s="2" t="inlineStr">
        <is>
          <t>npm</t>
        </is>
      </c>
      <c r="P125" s="2" t="inlineStr">
        <is>
          <t>20261025230753</t>
        </is>
      </c>
    </row>
    <row r="126">
      <c r="A126" s="2" t="inlineStr">
        <is>
          <t>CVE-2026-112395</t>
        </is>
      </c>
      <c r="B126" s="2" t="inlineStr">
        <is>
          <t>Pillow</t>
        </is>
      </c>
      <c r="C126" s="2" t="inlineStr">
        <is>
          <t>Python Pillow</t>
        </is>
      </c>
      <c r="D126" s="2" t="inlineStr">
        <is>
          <t>&gt;=8.2.0,&lt;13.0.0</t>
        </is>
      </c>
      <c r="E126" s="2" t="inlineStr">
        <is>
          <t>13.0.0</t>
        </is>
      </c>
      <c r="F126" s="2" t="inlineStr">
        <is>
          <t>MEDIUM</t>
        </is>
      </c>
      <c r="G126" s="2" t="inlineStr">
        <is>
          <t>6.5</t>
        </is>
      </c>
      <c r="H126" s="2" t="inlineStr">
        <is>
          <t>CVSS:3.1/AV:N/AC:L/PR:N/UI:N/S:U/C:L/I:N/A:L</t>
        </is>
      </c>
      <c r="I126" s="2" t="inlineStr">
        <is>
          <t>20261019</t>
        </is>
      </c>
      <c r="J126" s="2" t="inlineStr">
        <is>
          <t>20261020</t>
        </is>
      </c>
      <c r="K126" s="2" t="inlineStr">
        <is>
          <t>N</t>
        </is>
      </c>
      <c r="L126" s="2" t="inlineStr">
        <is>
          <t>Pillow is a Python imaging library. From 8.2.0 until 13.0.0, Pillow's tiled-TIFF decoder can read past the tile buffer while copying four-byte pixels. In _decodeTile, libtiff can return a tile allocation smaller than the required row stride multiplied by the tile length, and Pillow's stride-and-copy loop walks beyond that allocation. An attacker can supply a crafted tiled TIFF to an application that loads it. This can expose adjacent heap data in pixels or crash the process. This issue is fixed in version 13.0.0.</t>
        </is>
      </c>
      <c r="M126" s="2" t="inlineStr">
        <is>
          <t>https://github.com/python-pillow/Pillow/commit/76869efdbbf2ad7dccd7536520fb61b7a00ab61e</t>
        </is>
      </c>
      <c r="N126" s="2" t="inlineStr">
        <is>
          <t>NVD+OSV+GHSA</t>
        </is>
      </c>
      <c r="O126" s="2" t="inlineStr">
        <is>
          <t>pypi</t>
        </is>
      </c>
      <c r="P126" s="2" t="inlineStr">
        <is>
          <t>20261025230840</t>
        </is>
      </c>
    </row>
    <row r="127">
      <c r="A127" s="2" t="inlineStr">
        <is>
          <t>CVE-2026-59198</t>
        </is>
      </c>
      <c r="B127" s="2" t="inlineStr">
        <is>
          <t>Pillow</t>
        </is>
      </c>
      <c r="C127" s="2" t="inlineStr">
        <is>
          <t>python</t>
        </is>
      </c>
      <c r="D127" s="2" t="inlineStr">
        <is>
          <t>&gt;=5.2.0,&lt;12.3.0</t>
        </is>
      </c>
      <c r="E127" s="2" t="inlineStr">
        <is>
          <t>12.3.0</t>
        </is>
      </c>
      <c r="F127" s="2" t="inlineStr">
        <is>
          <t>MEDIUM</t>
        </is>
      </c>
      <c r="G127" s="2" t="inlineStr">
        <is>
          <t>6.5</t>
        </is>
      </c>
      <c r="H127" s="2" t="inlineStr">
        <is>
          <t>CVSS:3.1/AV:N/AC:H/PR:N/UI:N/S:U/C:H/I:N/A:L</t>
        </is>
      </c>
      <c r="I127" s="2" t="inlineStr">
        <is>
          <t>20260714</t>
        </is>
      </c>
      <c r="J127" s="2" t="inlineStr">
        <is>
          <t>20261024</t>
        </is>
      </c>
      <c r="K127" s="2" t="inlineStr">
        <is>
          <t>N</t>
        </is>
      </c>
      <c r="L127" s="2" t="inlineStr">
        <is>
          <t>Pillow is a Python imaging library. From 5.2.0 until 12.3.0, Pillow's TGA RLE encoder reads past its packed row buffer when saving a mode 1 image with TGA RLE compression, allowing adjacent process heap bytes to be copied into the generated TGA file. This issue is fixed in version 12.3.0.</t>
        </is>
      </c>
      <c r="M127" s="2" t="inlineStr">
        <is>
          <t>https://github.com/python-pillow/Pillow/commit/eada3cbd7fb9963ee90673fb7b5270124a0d5f4b</t>
        </is>
      </c>
      <c r="N127" s="2" t="inlineStr">
        <is>
          <t>NVD</t>
        </is>
      </c>
      <c r="O127" s="2" t="inlineStr">
        <is>
          <t>pypi</t>
        </is>
      </c>
      <c r="P127" s="2" t="inlineStr">
        <is>
          <t>20261025230753</t>
        </is>
      </c>
    </row>
    <row r="128">
      <c r="A128" s="2" t="inlineStr">
        <is>
          <t>CVE-2026-96636</t>
        </is>
      </c>
      <c r="B128" s="2" t="inlineStr">
        <is>
          <t>Pillow</t>
        </is>
      </c>
      <c r="C128" s="2" t="inlineStr">
        <is>
          <t>Python Pillow</t>
        </is>
      </c>
      <c r="D128" s="2" t="inlineStr">
        <is>
          <t>&lt;13.0.0</t>
        </is>
      </c>
      <c r="E128" s="2" t="inlineStr">
        <is>
          <t>13.0.0</t>
        </is>
      </c>
      <c r="F128" s="2" t="inlineStr">
        <is>
          <t>MEDIUM</t>
        </is>
      </c>
      <c r="G128" s="2" t="inlineStr">
        <is>
          <t>6.5</t>
        </is>
      </c>
      <c r="H128" s="2" t="inlineStr">
        <is>
          <t>CVSS:3.1/AV:N/AC:L/PR:N/UI:R/S:U/C:N/I:N/A:H</t>
        </is>
      </c>
      <c r="I128" s="2" t="inlineStr">
        <is>
          <t>20261021</t>
        </is>
      </c>
      <c r="J128" s="2" t="inlineStr">
        <is>
          <t>20261022</t>
        </is>
      </c>
      <c r="K128" s="2" t="inlineStr">
        <is>
          <t>N</t>
        </is>
      </c>
      <c r="L128" s="2" t="inlineStr">
        <is>
          <t>Pillow is a Python imaging library. Prior to 13.0.0, MpoImageFile.seek() and DcxImageFile.seek() reparse later MPO or DCX frames and replace self._size without rerunning Image._decompression_bomb_check(). A crafted multi-frame image can use a tiny first frame to pass Image.open() and then declare an over-limit later frame. Normal frame iteration through seek(), load(), or ImageSequence.Iterator can decode that frame and commit hundreds of megabytes or more, causing memory-exhaustion denial of service. This issue is fixed in version 13.0.0.</t>
        </is>
      </c>
      <c r="M128" s="2" t="inlineStr">
        <is>
          <t>https://github.com/python-pillow/Pillow/commit/f1acfc54c53502948d0d14121872061df931db48</t>
        </is>
      </c>
      <c r="N128" s="2" t="inlineStr">
        <is>
          <t>NVD+OSV+GHSA</t>
        </is>
      </c>
      <c r="O128" s="2" t="inlineStr">
        <is>
          <t>pypi</t>
        </is>
      </c>
      <c r="P128" s="2" t="inlineStr">
        <is>
          <t>20261025230840</t>
        </is>
      </c>
    </row>
    <row r="129">
      <c r="A129" s="2" t="inlineStr">
        <is>
          <t>CVE-2026-96638</t>
        </is>
      </c>
      <c r="B129" s="2" t="inlineStr">
        <is>
          <t>Pillow</t>
        </is>
      </c>
      <c r="C129" s="2" t="inlineStr">
        <is>
          <t>Python Pillow</t>
        </is>
      </c>
      <c r="D129" s="2" t="inlineStr">
        <is>
          <t>&gt;=9.1.0,&lt;13.0.0</t>
        </is>
      </c>
      <c r="E129" s="2" t="inlineStr">
        <is>
          <t>13.0.0</t>
        </is>
      </c>
      <c r="F129" s="2" t="inlineStr">
        <is>
          <t>MEDIUM</t>
        </is>
      </c>
      <c r="G129" s="2" t="inlineStr">
        <is>
          <t>6.5</t>
        </is>
      </c>
      <c r="H129" s="2" t="inlineStr">
        <is>
          <t>CVSS:3.1/AV:N/AC:L/PR:N/UI:R/S:U/C:N/I:N/A:H</t>
        </is>
      </c>
      <c r="I129" s="2" t="inlineStr">
        <is>
          <t>20261021</t>
        </is>
      </c>
      <c r="J129" s="2" t="inlineStr">
        <is>
          <t>20261022</t>
        </is>
      </c>
      <c r="K129" s="2" t="inlineStr">
        <is>
          <t>N</t>
        </is>
      </c>
      <c r="L129" s="2" t="inlineStr">
        <is>
          <t>Pillow is a Python imaging library. From 9.1.0 until 13.0.0, BmpRleDecoder.decode() in src/PIL/BmpImagePlugin.py permits crafted RLE BMP delta escapes and absolute-mode runs to append beyond the remaining dest_length without a per-branch cap. A delta can add roughly 255 image rows in one iteration, so a kilobyte-sized file with a large but permitted width can expand the data bytearray to hundreds of megabytes or more, causing memory-exhaustion denial of service. This issue is fixed in version 13.0.0.</t>
        </is>
      </c>
      <c r="M129" s="2" t="inlineStr">
        <is>
          <t>https://github.com/python-pillow/Pillow/commit/e7794835e323ff2691d9b3a974cade1a44301b9a</t>
        </is>
      </c>
      <c r="N129" s="2" t="inlineStr">
        <is>
          <t>NVD+OSV+GHSA</t>
        </is>
      </c>
      <c r="O129" s="2" t="inlineStr">
        <is>
          <t>pypi</t>
        </is>
      </c>
      <c r="P129" s="2" t="inlineStr">
        <is>
          <t>20261025230840</t>
        </is>
      </c>
    </row>
    <row r="130">
      <c r="A130" s="2" t="inlineStr">
        <is>
          <t>CVE-2026-96641</t>
        </is>
      </c>
      <c r="B130" s="2" t="inlineStr">
        <is>
          <t>Pillow</t>
        </is>
      </c>
      <c r="C130" s="2" t="inlineStr">
        <is>
          <t>Python Pillow</t>
        </is>
      </c>
      <c r="D130" s="2" t="inlineStr">
        <is>
          <t>&lt;13.0.0</t>
        </is>
      </c>
      <c r="E130" s="2" t="inlineStr">
        <is>
          <t>13.0.0</t>
        </is>
      </c>
      <c r="F130" s="2" t="inlineStr">
        <is>
          <t>MEDIUM</t>
        </is>
      </c>
      <c r="G130" s="2" t="inlineStr">
        <is>
          <t>6.5</t>
        </is>
      </c>
      <c r="H130" s="2" t="inlineStr">
        <is>
          <t>CVSS:3.1/AV:N/AC:L/PR:N/UI:R/S:U/C:N/I:N/A:H</t>
        </is>
      </c>
      <c r="I130" s="2" t="inlineStr">
        <is>
          <t>20261021</t>
        </is>
      </c>
      <c r="J130" s="2" t="inlineStr">
        <is>
          <t>20261022</t>
        </is>
      </c>
      <c r="K130" s="2" t="inlineStr">
        <is>
          <t>N</t>
        </is>
      </c>
      <c r="L130" s="2" t="inlineStr">
        <is>
          <t>Pillow is a Python imaging library. Prior to 13.0.0, PILfont text-width accumulation in src/_imaging.c checks positive glyph advances against INT_MAX but does not check negative advances against INT_MIN. Repeating a signed 16-bit advance of -32768 can therefore execute a signed C integer overflow in xsize += dx, producing a large positive width from a negative mathematical result. Applications that use getlength(), getsize(), or derived layout, quota, serialization, or allocation calculations can experience logic-integrity errors or resource consumption, while the high-level mask path commonly retains a decompression-bomb check. This issue is fixed in version 13.0.0.</t>
        </is>
      </c>
      <c r="M130" s="2" t="inlineStr">
        <is>
          <t>https://github.com/python-pillow/Pillow/commit/80de4be9e38d3a6148dd4d8491eb80cd12b760a4</t>
        </is>
      </c>
      <c r="N130" s="2" t="inlineStr">
        <is>
          <t>NVD+OSV+GHSA</t>
        </is>
      </c>
      <c r="O130" s="2" t="inlineStr">
        <is>
          <t>pypi</t>
        </is>
      </c>
      <c r="P130" s="2" t="inlineStr">
        <is>
          <t>20261025230840</t>
        </is>
      </c>
    </row>
    <row r="131">
      <c r="A131" s="2" t="inlineStr">
        <is>
          <t>CVE-2026-112267</t>
        </is>
      </c>
      <c r="B131" s="2" t="inlineStr">
        <is>
          <t>SGLang</t>
        </is>
      </c>
      <c r="C131" s="2" t="inlineStr">
        <is>
          <t>SGLang Project</t>
        </is>
      </c>
      <c r="D131" s="2" t="inlineStr">
        <is>
          <t>&lt;=0.5.22</t>
        </is>
      </c>
      <c r="E131" s="2" t="inlineStr"/>
      <c r="F131" s="2" t="inlineStr">
        <is>
          <t>MEDIUM</t>
        </is>
      </c>
      <c r="G131" s="2" t="inlineStr">
        <is>
          <t>6.5</t>
        </is>
      </c>
      <c r="H131" s="2" t="inlineStr">
        <is>
          <t>CVSS:3.1/AV:N/AC:L/PR:N/UI:N/S:U/C:N/I:L/A:L</t>
        </is>
      </c>
      <c r="I131" s="2" t="inlineStr">
        <is>
          <t>20261019</t>
        </is>
      </c>
      <c r="J131" s="2" t="inlineStr">
        <is>
          <t>20261019</t>
        </is>
      </c>
      <c r="K131" s="2" t="inlineStr">
        <is>
          <t>N</t>
        </is>
      </c>
      <c r="L131" s="2" t="inlineStr">
        <is>
          <t>SGLang through 0.5.22 in prefill/decode disaggregation mode contains a server-side request forgery vulnerability that allows unauthenticated attackers to trigger outbound requests via client-supplied bootstrap_host and bootstrap_port fields. Attackers sending crafted requests to the Decode worker's /generate endpoint can probe internal hosts and ports and block the shared scheduler loop, delaying other inference requests.</t>
        </is>
      </c>
      <c r="M131" s="2" t="inlineStr">
        <is>
          <t>https://github.com/sgl-project/sglang/blob/v0.5.22/python/sglang/srt/disaggregation/common/conn.py#L1157-L1181</t>
        </is>
      </c>
      <c r="N131" s="2" t="inlineStr">
        <is>
          <t>NVD</t>
        </is>
      </c>
      <c r="O131" s="2" t="inlineStr">
        <is>
          <t>pypi</t>
        </is>
      </c>
      <c r="P131" s="2" t="inlineStr">
        <is>
          <t>20261025230753</t>
        </is>
      </c>
    </row>
    <row r="132">
      <c r="A132" s="2" t="inlineStr">
        <is>
          <t>CVE-2026-112269</t>
        </is>
      </c>
      <c r="B132" s="2" t="inlineStr">
        <is>
          <t>SGLang</t>
        </is>
      </c>
      <c r="C132" s="2" t="inlineStr">
        <is>
          <t>SGLang Project</t>
        </is>
      </c>
      <c r="D132" s="2" t="inlineStr">
        <is>
          <t>&lt;=0.5.22</t>
        </is>
      </c>
      <c r="E132" s="2" t="inlineStr"/>
      <c r="F132" s="2" t="inlineStr">
        <is>
          <t>MEDIUM</t>
        </is>
      </c>
      <c r="G132" s="2" t="inlineStr">
        <is>
          <t>6.5</t>
        </is>
      </c>
      <c r="H132" s="2" t="inlineStr">
        <is>
          <t>CVSS:3.1/AV:A/AC:L/PR:N/UI:N/S:U/C:N/I:N/A:H</t>
        </is>
      </c>
      <c r="I132" s="2" t="inlineStr">
        <is>
          <t>20261019</t>
        </is>
      </c>
      <c r="J132" s="2" t="inlineStr">
        <is>
          <t>20261019</t>
        </is>
      </c>
      <c r="K132" s="2" t="inlineStr">
        <is>
          <t>N</t>
        </is>
      </c>
      <c r="L132" s="2" t="inlineStr">
        <is>
          <t>SGLang through 0.5.22 with the Mooncake disaggregation backend accepts unauthenticated decode registration messages on the Prefill rank ZMQ PULL socket, allowing denial of service. Network-adjacent attackers can send many registrations with unique mooncake_session_id values and large nested-buffer frames to exhaust Prefill memory until the scheduler is OOM-killed.</t>
        </is>
      </c>
      <c r="M132" s="2" t="inlineStr">
        <is>
          <t>https://github.com/sgl-project/sglang/blob/v0.5.22/python/sglang/srt/disaggregation/common/utils.py#L47-L69</t>
        </is>
      </c>
      <c r="N132" s="2" t="inlineStr">
        <is>
          <t>NVD</t>
        </is>
      </c>
      <c r="O132" s="2" t="inlineStr">
        <is>
          <t>pypi</t>
        </is>
      </c>
      <c r="P132" s="2" t="inlineStr">
        <is>
          <t>20261025230753</t>
        </is>
      </c>
    </row>
    <row r="133">
      <c r="A133" s="2" t="inlineStr">
        <is>
          <t>CVE-2026-112270</t>
        </is>
      </c>
      <c r="B133" s="2" t="inlineStr">
        <is>
          <t>SGLang</t>
        </is>
      </c>
      <c r="C133" s="2" t="inlineStr">
        <is>
          <t>SGLang Project</t>
        </is>
      </c>
      <c r="D133" s="2" t="inlineStr">
        <is>
          <t>&lt;=0.5.22</t>
        </is>
      </c>
      <c r="E133" s="2" t="inlineStr"/>
      <c r="F133" s="2" t="inlineStr">
        <is>
          <t>MEDIUM</t>
        </is>
      </c>
      <c r="G133" s="2" t="inlineStr">
        <is>
          <t>6.5</t>
        </is>
      </c>
      <c r="H133" s="2" t="inlineStr">
        <is>
          <t>CVSS:3.1/AV:A/AC:L/PR:N/UI:N/S:U/C:N/I:N/A:H</t>
        </is>
      </c>
      <c r="I133" s="2" t="inlineStr">
        <is>
          <t>20261019</t>
        </is>
      </c>
      <c r="J133" s="2" t="inlineStr">
        <is>
          <t>20261019</t>
        </is>
      </c>
      <c r="K133" s="2" t="inlineStr">
        <is>
          <t>N</t>
        </is>
      </c>
      <c r="L133" s="2" t="inlineStr">
        <is>
          <t>SGLang through 0.5.22 with the Mooncake disaggregation backend contains an uncontrolled memory allocation vulnerability in handle_staging_rsp() that lets unauthenticated network-adjacent attackers exhaust Prefill memory. Attackers can obtain the rank address from the /route endpoint and send STAGING_RSP messages with huge chunk_idx values under fresh room IDs, causing the scheduler to be OOM-killed.</t>
        </is>
      </c>
      <c r="M133" s="2" t="inlineStr">
        <is>
          <t>https://github.com/sgl-project/sglang/blob/v0.5.22/python/sglang/srt/disaggregation/common/staging_handler.py#L505-L548</t>
        </is>
      </c>
      <c r="N133" s="2" t="inlineStr">
        <is>
          <t>NVD</t>
        </is>
      </c>
      <c r="O133" s="2" t="inlineStr">
        <is>
          <t>pypi</t>
        </is>
      </c>
      <c r="P133" s="2" t="inlineStr">
        <is>
          <t>20261025230753</t>
        </is>
      </c>
    </row>
    <row r="134">
      <c r="A134" s="2" t="inlineStr">
        <is>
          <t>CVE-2026-47481</t>
        </is>
      </c>
      <c r="B134" s="2" t="inlineStr">
        <is>
          <t>Triton Inference Server</t>
        </is>
      </c>
      <c r="C134" s="2" t="inlineStr">
        <is>
          <t>NVIDIA</t>
        </is>
      </c>
      <c r="D134" s="2" t="inlineStr">
        <is>
          <t>*</t>
        </is>
      </c>
      <c r="E134" s="2" t="inlineStr"/>
      <c r="F134" s="2" t="inlineStr">
        <is>
          <t>MEDIUM</t>
        </is>
      </c>
      <c r="G134" s="2" t="inlineStr">
        <is>
          <t>6.5</t>
        </is>
      </c>
      <c r="H134" s="2" t="inlineStr">
        <is>
          <t>CVSS:3.1/AV:N/AC:L/PR:N/UI:N/S:U/C:L/I:L/A:N</t>
        </is>
      </c>
      <c r="I134" s="2" t="inlineStr">
        <is>
          <t>20260714</t>
        </is>
      </c>
      <c r="J134" s="2" t="inlineStr">
        <is>
          <t>20261024</t>
        </is>
      </c>
      <c r="K134" s="2" t="inlineStr">
        <is>
          <t>N</t>
        </is>
      </c>
      <c r="L134" s="2" t="inlineStr">
        <is>
          <t>[버전범위 불명확] NVIDIA Triton Inference Server for Linux contains a vulnerability where an attacker can cause an authentication bypass through an alternative path or channel. A successful exploit of this vulnerability might lead to code execution, escalation of privileges, information disclosure, and data tampering.</t>
        </is>
      </c>
      <c r="M134" s="2" t="inlineStr">
        <is>
          <t>https://nvd.nist.gov/vuln/detail/CVE-2026-47481</t>
        </is>
      </c>
      <c r="N134" s="2" t="inlineStr">
        <is>
          <t>NVD</t>
        </is>
      </c>
      <c r="O134" s="2" t="inlineStr">
        <is>
          <t>github</t>
        </is>
      </c>
      <c r="P134" s="2" t="inlineStr">
        <is>
          <t>20261025230753</t>
        </is>
      </c>
    </row>
    <row r="135">
      <c r="A135" s="2" t="inlineStr">
        <is>
          <t>CVE-2025-62372</t>
        </is>
      </c>
      <c r="B135" s="2" t="inlineStr">
        <is>
          <t>vLLM</t>
        </is>
      </c>
      <c r="C135" s="2" t="inlineStr">
        <is>
          <t>vllm</t>
        </is>
      </c>
      <c r="D135" s="2" t="inlineStr">
        <is>
          <t>&gt;=0.5.5,&lt;0.11.1|==0.11.1</t>
        </is>
      </c>
      <c r="E135" s="2" t="inlineStr">
        <is>
          <t>0.11.1</t>
        </is>
      </c>
      <c r="F135" s="2" t="inlineStr">
        <is>
          <t>MEDIUM</t>
        </is>
      </c>
      <c r="G135" s="2" t="inlineStr">
        <is>
          <t>6.5</t>
        </is>
      </c>
      <c r="H135" s="2" t="inlineStr">
        <is>
          <t>CVSS:3.1/AV:N/AC:L/PR:L/UI:N/S:U/C:N/I:N/A:H</t>
        </is>
      </c>
      <c r="I135" s="2" t="inlineStr">
        <is>
          <t>20251121</t>
        </is>
      </c>
      <c r="J135" s="2" t="inlineStr">
        <is>
          <t>20261019</t>
        </is>
      </c>
      <c r="K135" s="2" t="inlineStr">
        <is>
          <t>N</t>
        </is>
      </c>
      <c r="L135" s="2" t="inlineStr">
        <is>
          <t>vLLM is an inference and serving engine for large language models (LLMs). From version 0.5.5 to before 0.11.1, users can crash the vLLM engine serving multimodal models by passing multimodal embedding inputs with correct ndim but incorrect shape (e.g. hidden dimension is wrong), regardless of whether the model is intended to support such inputs (as defined in the Supported Models page). This issue has been patched in version 0.11.1.</t>
        </is>
      </c>
      <c r="M135" s="2" t="inlineStr">
        <is>
          <t>https://github.com/vllm-project/vllm/commit/58fab50d82838d5014f4a14d991fdb9352c9c84b</t>
        </is>
      </c>
      <c r="N135" s="2" t="inlineStr">
        <is>
          <t>NVD</t>
        </is>
      </c>
      <c r="O135" s="2" t="inlineStr">
        <is>
          <t>pypi</t>
        </is>
      </c>
      <c r="P135" s="2" t="inlineStr">
        <is>
          <t>20261025230753</t>
        </is>
      </c>
    </row>
    <row r="136">
      <c r="A136" s="2" t="inlineStr">
        <is>
          <t>CVE-2025-62426</t>
        </is>
      </c>
      <c r="B136" s="2" t="inlineStr">
        <is>
          <t>vLLM</t>
        </is>
      </c>
      <c r="C136" s="2" t="inlineStr">
        <is>
          <t>vllm</t>
        </is>
      </c>
      <c r="D136" s="2" t="inlineStr">
        <is>
          <t>&gt;=0.5.5,&lt;0.11.1|==0.11.1</t>
        </is>
      </c>
      <c r="E136" s="2" t="inlineStr">
        <is>
          <t>0.11.1</t>
        </is>
      </c>
      <c r="F136" s="2" t="inlineStr">
        <is>
          <t>MEDIUM</t>
        </is>
      </c>
      <c r="G136" s="2" t="inlineStr">
        <is>
          <t>6.5</t>
        </is>
      </c>
      <c r="H136" s="2" t="inlineStr">
        <is>
          <t>CVSS:3.1/AV:N/AC:L/PR:L/UI:N/S:U/C:N/I:N/A:H</t>
        </is>
      </c>
      <c r="I136" s="2" t="inlineStr">
        <is>
          <t>20251121</t>
        </is>
      </c>
      <c r="J136" s="2" t="inlineStr">
        <is>
          <t>20261019</t>
        </is>
      </c>
      <c r="K136" s="2" t="inlineStr">
        <is>
          <t>N</t>
        </is>
      </c>
      <c r="L136" s="2" t="inlineStr">
        <is>
          <t>vLLM is an inference and serving engine for large language models (LLMs). From version 0.5.5 to before 0.11.1, the /v1/chat/completions and /tokenize endpoints allow a chat_template_kwargs request parameter that is used in the code before it is properly validated against the chat template. With the right chat_template_kwargs parameters, it is possible to block processing of the API server for long periods of time, delaying all other requests. This issue has been patched in version 0.11.1.</t>
        </is>
      </c>
      <c r="M136" s="2" t="inlineStr">
        <is>
          <t>https://github.com/vllm-project/vllm/commit/3ada34f9cb4d1af763fdfa3b481862a93eb6bd2b</t>
        </is>
      </c>
      <c r="N136" s="2" t="inlineStr">
        <is>
          <t>NVD</t>
        </is>
      </c>
      <c r="O136" s="2" t="inlineStr">
        <is>
          <t>pypi</t>
        </is>
      </c>
      <c r="P136" s="2" t="inlineStr">
        <is>
          <t>20261025230753</t>
        </is>
      </c>
    </row>
    <row r="137">
      <c r="A137" s="2" t="inlineStr">
        <is>
          <t>CVE-2026-100653</t>
        </is>
      </c>
      <c r="B137" s="2" t="inlineStr">
        <is>
          <t>vLLM</t>
        </is>
      </c>
      <c r="C137" s="2" t="inlineStr">
        <is>
          <t>vllm</t>
        </is>
      </c>
      <c r="D137" s="2" t="inlineStr">
        <is>
          <t>&gt;=0.22.1,&lt;0.28.0</t>
        </is>
      </c>
      <c r="E137" s="2" t="inlineStr">
        <is>
          <t>0.28.0</t>
        </is>
      </c>
      <c r="F137" s="2" t="inlineStr">
        <is>
          <t>MEDIUM</t>
        </is>
      </c>
      <c r="G137" s="2" t="inlineStr">
        <is>
          <t>6.5</t>
        </is>
      </c>
      <c r="H137" s="2" t="inlineStr">
        <is>
          <t>CVSS:3.1/AV:N/AC:H/PR:N/UI:N/S:U/C:L/I:H/A:N</t>
        </is>
      </c>
      <c r="I137" s="2" t="inlineStr">
        <is>
          <t>20260926</t>
        </is>
      </c>
      <c r="J137" s="2" t="inlineStr">
        <is>
          <t>20261023</t>
        </is>
      </c>
      <c r="K137" s="2" t="inlineStr">
        <is>
          <t>N</t>
        </is>
      </c>
      <c r="L137" s="2" t="inlineStr">
        <is>
          <t>vLLM is an inference and serving engine for large language models. In versions from 0.22.1 through 0.28.0, the operator-supplied model revision pin (--revision / --code-revision) is not propagated to several Hugging Face artifact loads for the FunAudioChat and Tarsier2 architectures: the WhisperFeatureExtractor and speech_tokenizer PreTrainedTokenizerFast loads in vllm/model_executor/models/funaudiochat.py and the Qwen2VLConfig.from_pretrained call used by Tarsier2ProcessingInfo in vllm/model_executor/models/qwen2_vl.py. As a result, deployments pinned to a reviewed revision still resolve these behavior-affecting processor, tokenizer, and config artifacts from the repository's default revision, so a later change to the upstream default branch can alter audio preprocessing, speech tokenizer behavior, or Tarsier2 configuration without any change to the operator's configured pin. This is a supply-chain integrity and reproducibility failure for pinned deployments; it is residual to the ear</t>
        </is>
      </c>
      <c r="M137" s="2" t="inlineStr">
        <is>
          <t>https://github.com/vllm-project/vllm/commit/d26a28ab033697f55a1414b5b0435de7cd6045b6</t>
        </is>
      </c>
      <c r="N137" s="2" t="inlineStr">
        <is>
          <t>NVD+OSV</t>
        </is>
      </c>
      <c r="O137" s="2" t="inlineStr">
        <is>
          <t>pypi</t>
        </is>
      </c>
      <c r="P137" s="2" t="inlineStr">
        <is>
          <t>20261025230753</t>
        </is>
      </c>
    </row>
    <row r="138">
      <c r="A138" s="2" t="inlineStr">
        <is>
          <t>CVE-2026-114054</t>
        </is>
      </c>
      <c r="B138" s="2" t="inlineStr">
        <is>
          <t>vLLM</t>
        </is>
      </c>
      <c r="C138" s="2" t="inlineStr">
        <is>
          <t>vLLM Project</t>
        </is>
      </c>
      <c r="D138" s="2" t="inlineStr">
        <is>
          <t>&lt;0.31.0</t>
        </is>
      </c>
      <c r="E138" s="2" t="inlineStr"/>
      <c r="F138" s="2" t="inlineStr">
        <is>
          <t>MEDIUM</t>
        </is>
      </c>
      <c r="G138" s="2" t="inlineStr">
        <is>
          <t>6.5</t>
        </is>
      </c>
      <c r="H138" s="2" t="inlineStr">
        <is>
          <t>CVSS:3.1/AV:N/AC:L/PR:L/UI:N/S:U/C:N/I:N/A:H</t>
        </is>
      </c>
      <c r="I138" s="2" t="inlineStr">
        <is>
          <t>20261021</t>
        </is>
      </c>
      <c r="J138" s="2" t="inlineStr">
        <is>
          <t>20261022</t>
        </is>
      </c>
      <c r="K138" s="2" t="inlineStr">
        <is>
          <t>N</t>
        </is>
      </c>
      <c r="L138" s="2" t="inlineStr">
        <is>
          <t>vLLM before 0.31.0 contains a cache aliasing vulnerability that allows authenticated attackers to collide shared cache keys by supplying caller-controlled values such as EXIF ImageID or cache_salt. Attackers can set a UUID EXIF ImageID to receive another request's cached processed media, or match cache_salt to a LoRA name to reuse first-block KV state.</t>
        </is>
      </c>
      <c r="M138" s="2" t="inlineStr">
        <is>
          <t>https://github.com/vllm-project/vllm/security/advisories/GHSA-rh6f-3x46-j33q</t>
        </is>
      </c>
      <c r="N138" s="2" t="inlineStr">
        <is>
          <t>NVD</t>
        </is>
      </c>
      <c r="O138" s="2" t="inlineStr">
        <is>
          <t>pypi</t>
        </is>
      </c>
      <c r="P138" s="2" t="inlineStr">
        <is>
          <t>20261025230753</t>
        </is>
      </c>
    </row>
    <row r="139">
      <c r="A139" s="2" t="inlineStr">
        <is>
          <t>CVE-2026-116175</t>
        </is>
      </c>
      <c r="B139" s="2" t="inlineStr">
        <is>
          <t>vLLM</t>
        </is>
      </c>
      <c r="C139" s="2" t="inlineStr">
        <is>
          <t>vLLM Project</t>
        </is>
      </c>
      <c r="D139" s="2" t="inlineStr">
        <is>
          <t>&lt;0.24.0</t>
        </is>
      </c>
      <c r="E139" s="2" t="inlineStr"/>
      <c r="F139" s="2" t="inlineStr">
        <is>
          <t>MEDIUM</t>
        </is>
      </c>
      <c r="G139" s="2" t="inlineStr">
        <is>
          <t>6.5</t>
        </is>
      </c>
      <c r="H139" s="2" t="inlineStr">
        <is>
          <t>CVSS:3.1/AV:N/AC:L/PR:L/UI:N/S:U/C:N/I:N/A:H</t>
        </is>
      </c>
      <c r="I139" s="2" t="inlineStr">
        <is>
          <t>20261025</t>
        </is>
      </c>
      <c r="J139" s="2" t="inlineStr">
        <is>
          <t>20261025</t>
        </is>
      </c>
      <c r="K139" s="2" t="inlineStr">
        <is>
          <t>N</t>
        </is>
      </c>
      <c r="L139" s="2" t="inlineStr">
        <is>
          <t>vLLM from 0.19.0 before 0.24.0 contains a decompression bomb vulnerability because the AudioMediaIO multimodal path calls load_audio without the max_duration_s decoded-duration limit. Authenticated attackers can send small compressed audio via input_audio or audio_url in /v1/chat/completions requests that expands to huge decoded PCM, exhausting server memory.</t>
        </is>
      </c>
      <c r="M139" s="2" t="inlineStr">
        <is>
          <t>https://github.com/vllm-project/vllm/security/advisories/GHSA-r45p-7qwx-qwjw</t>
        </is>
      </c>
      <c r="N139" s="2" t="inlineStr">
        <is>
          <t>NVD</t>
        </is>
      </c>
      <c r="O139" s="2" t="inlineStr">
        <is>
          <t>pypi</t>
        </is>
      </c>
      <c r="P139" s="2" t="inlineStr">
        <is>
          <t>20261025230753</t>
        </is>
      </c>
    </row>
    <row r="140">
      <c r="A140" s="2" t="inlineStr">
        <is>
          <t>CVE-2026-116181</t>
        </is>
      </c>
      <c r="B140" s="2" t="inlineStr">
        <is>
          <t>vLLM</t>
        </is>
      </c>
      <c r="C140" s="2" t="inlineStr">
        <is>
          <t>vLLM Project</t>
        </is>
      </c>
      <c r="D140" s="2" t="inlineStr">
        <is>
          <t>&lt;0.29.0</t>
        </is>
      </c>
      <c r="E140" s="2" t="inlineStr"/>
      <c r="F140" s="2" t="inlineStr">
        <is>
          <t>MEDIUM</t>
        </is>
      </c>
      <c r="G140" s="2" t="inlineStr">
        <is>
          <t>6.5</t>
        </is>
      </c>
      <c r="H140" s="2" t="inlineStr">
        <is>
          <t>CVSS:3.1/AV:N/AC:L/PR:L/UI:N/S:U/C:N/I:N/A:H</t>
        </is>
      </c>
      <c r="I140" s="2" t="inlineStr">
        <is>
          <t>20261025</t>
        </is>
      </c>
      <c r="J140" s="2" t="inlineStr">
        <is>
          <t>20261025</t>
        </is>
      </c>
      <c r="K140" s="2" t="inlineStr">
        <is>
          <t>N</t>
        </is>
      </c>
      <c r="L140" s="2" t="inlineStr">
        <is>
          <t>vLLM from 0.20.1 before 0.29.0 contains an improper input validation vulnerability that allows remote attackers to crash the engine by supplying out-of-vocabulary stop_token_ids. Attackers can send OpenAI chat, completion, generate, or batch requests with invalid IDs to terminate the engine or write outside the V2 runner's logits buffer.</t>
        </is>
      </c>
      <c r="M140" s="2" t="inlineStr">
        <is>
          <t>https://github.com/vllm-project/vllm/security/advisories/GHSA-w9r6-29q4-pvpr</t>
        </is>
      </c>
      <c r="N140" s="2" t="inlineStr">
        <is>
          <t>NVD</t>
        </is>
      </c>
      <c r="O140" s="2" t="inlineStr">
        <is>
          <t>pypi</t>
        </is>
      </c>
      <c r="P140" s="2" t="inlineStr">
        <is>
          <t>20261025230753</t>
        </is>
      </c>
    </row>
    <row r="141">
      <c r="A141" s="2" t="inlineStr">
        <is>
          <t>CVE-2026-55514</t>
        </is>
      </c>
      <c r="B141" s="2" t="inlineStr">
        <is>
          <t>vLLM</t>
        </is>
      </c>
      <c r="C141" s="2" t="inlineStr">
        <is>
          <t>vllm</t>
        </is>
      </c>
      <c r="D141" s="2" t="inlineStr">
        <is>
          <t>&gt;=0.12.0,&lt;0.24.0</t>
        </is>
      </c>
      <c r="E141" s="2" t="inlineStr">
        <is>
          <t>0.24.0</t>
        </is>
      </c>
      <c r="F141" s="2" t="inlineStr">
        <is>
          <t>MEDIUM</t>
        </is>
      </c>
      <c r="G141" s="2" t="inlineStr">
        <is>
          <t>6.5</t>
        </is>
      </c>
      <c r="H141" s="2" t="inlineStr">
        <is>
          <t>CVSS:3.1/AV:N/AC:L/PR:L/UI:N/S:U/C:N/I:N/A:H</t>
        </is>
      </c>
      <c r="I141" s="2" t="inlineStr">
        <is>
          <t>20260706</t>
        </is>
      </c>
      <c r="J141" s="2" t="inlineStr">
        <is>
          <t>20261025</t>
        </is>
      </c>
      <c r="K141" s="2" t="inlineStr">
        <is>
          <t>N</t>
        </is>
      </c>
      <c r="L141" s="2" t="inlineStr">
        <is>
          <t>vLLM is a library for LLM inference and serving. From 0.12.0 to before 0.24.0, sending a pure prompt embeds payload in a /v1/completions request with a model using M-RoPE causes EngineCore to fail an assertion and fatally crash, shutting down the entire server application. Any remote user who is authorized to make a /v1/completions request can make such a request and induce a crash. This issue is fixed in version 0.24.0.</t>
        </is>
      </c>
      <c r="M141" s="2" t="inlineStr">
        <is>
          <t>https://github.com/vllm-project/vllm/commit/470229c37efaf69c86e8bc97482b0b1ff7551c65</t>
        </is>
      </c>
      <c r="N141" s="2" t="inlineStr">
        <is>
          <t>NVD</t>
        </is>
      </c>
      <c r="O141" s="2" t="inlineStr">
        <is>
          <t>pypi</t>
        </is>
      </c>
      <c r="P141" s="2" t="inlineStr">
        <is>
          <t>20261025230753</t>
        </is>
      </c>
    </row>
    <row r="142">
      <c r="A142" s="2" t="inlineStr">
        <is>
          <t>CVE-2026-55646</t>
        </is>
      </c>
      <c r="B142" s="2" t="inlineStr">
        <is>
          <t>vLLM</t>
        </is>
      </c>
      <c r="C142" s="2" t="inlineStr">
        <is>
          <t>vllm</t>
        </is>
      </c>
      <c r="D142" s="2" t="inlineStr">
        <is>
          <t>&gt;=0.22.0,&lt;0.24.0</t>
        </is>
      </c>
      <c r="E142" s="2" t="inlineStr">
        <is>
          <t>0.24.0</t>
        </is>
      </c>
      <c r="F142" s="2" t="inlineStr">
        <is>
          <t>MEDIUM</t>
        </is>
      </c>
      <c r="G142" s="2" t="inlineStr">
        <is>
          <t>6.5</t>
        </is>
      </c>
      <c r="H142" s="2" t="inlineStr">
        <is>
          <t>CVSS:3.1/AV:N/AC:L/PR:L/UI:N/S:U/C:N/I:N/A:H</t>
        </is>
      </c>
      <c r="I142" s="2" t="inlineStr">
        <is>
          <t>20260706</t>
        </is>
      </c>
      <c r="J142" s="2" t="inlineStr">
        <is>
          <t>20261025</t>
        </is>
      </c>
      <c r="K142" s="2" t="inlineStr">
        <is>
          <t>N</t>
        </is>
      </c>
      <c r="L142" s="2" t="inlineStr">
        <is>
          <t>vLLM is an inference and serving engine for large language models. From 0.22.0 to 0.23.0, the /v1/audio/transcriptions and /v1/audio/translations routes call request.file.read() to fully materialize an uploaded audio file into memory before vLLM checks the documented VLLM_MAX_AUDIO_CLIP_FILESIZE_MB compressed upload size limit (default 25 MB) later in the speech-to-text preprocessing step, so an API caller who can reach those routes can submit an oversized multipart upload and cause vLLM to allocate memory proportional to the uploaded file size before the request is rejected as too large, creating memory pressure or terminating the process depending on deployment resource limits. This issue is fixed in version 0.24.0.</t>
        </is>
      </c>
      <c r="M142" s="2" t="inlineStr">
        <is>
          <t>https://github.com/vllm-project/vllm/commit/b997071ec493765abbed990c65843ed05e4708a8</t>
        </is>
      </c>
      <c r="N142" s="2" t="inlineStr">
        <is>
          <t>NVD</t>
        </is>
      </c>
      <c r="O142" s="2" t="inlineStr">
        <is>
          <t>pypi</t>
        </is>
      </c>
      <c r="P142" s="2" t="inlineStr">
        <is>
          <t>20261025230753</t>
        </is>
      </c>
    </row>
    <row r="143">
      <c r="A143" s="2" t="inlineStr">
        <is>
          <t>CVE-2026-56778</t>
        </is>
      </c>
      <c r="B143" s="2" t="inlineStr">
        <is>
          <t>n8n</t>
        </is>
      </c>
      <c r="C143" s="2" t="inlineStr">
        <is>
          <t>n8n</t>
        </is>
      </c>
      <c r="D143" s="2" t="inlineStr">
        <is>
          <t>&lt;2.25.7|&gt;=2.26.0,&lt;2.26.2</t>
        </is>
      </c>
      <c r="E143" s="2" t="inlineStr"/>
      <c r="F143" s="2" t="inlineStr">
        <is>
          <t>MEDIUM</t>
        </is>
      </c>
      <c r="G143" s="2" t="inlineStr">
        <is>
          <t>6.4</t>
        </is>
      </c>
      <c r="H143" s="2" t="inlineStr">
        <is>
          <t>CVSS:3.1/AV:N/AC:L/PR:L/UI:N/S:C/C:L/I:L/A:N</t>
        </is>
      </c>
      <c r="I143" s="2" t="inlineStr">
        <is>
          <t>20260708</t>
        </is>
      </c>
      <c r="J143" s="2" t="inlineStr">
        <is>
          <t>20261025</t>
        </is>
      </c>
      <c r="K143" s="2" t="inlineStr">
        <is>
          <t>N</t>
        </is>
      </c>
      <c r="L143" s="2" t="inlineStr">
        <is>
          <t>n8n before 2.25.7 and 2.26.x before 2.26.2 contains an authorization bypass in the Public API execution retry endpoint, which authorizes access using the workflow:read scope instead of workflow:execute. An authenticated user with read-only access to a shared workflow can use the Public API to retry executions of that workflow, bypassing the intended permission boundary between read and execute access. This affects instances where workflows are shared with other users or across projects.</t>
        </is>
      </c>
      <c r="M143" s="2" t="inlineStr">
        <is>
          <t>https://github.com/n8n-io/n8n/security/advisories/GHSA-h3jj-5f3v-3685</t>
        </is>
      </c>
      <c r="N143" s="2" t="inlineStr">
        <is>
          <t>NVD</t>
        </is>
      </c>
      <c r="O143" s="2" t="inlineStr">
        <is>
          <t>npm</t>
        </is>
      </c>
      <c r="P143" s="2" t="inlineStr">
        <is>
          <t>20261025230753</t>
        </is>
      </c>
    </row>
    <row r="144">
      <c r="A144" s="2" t="inlineStr">
        <is>
          <t>CVE-2026-56349</t>
        </is>
      </c>
      <c r="B144" s="2" t="inlineStr">
        <is>
          <t>n8n</t>
        </is>
      </c>
      <c r="C144" s="2" t="inlineStr">
        <is>
          <t>n8n GmbH</t>
        </is>
      </c>
      <c r="D144" s="2" t="inlineStr">
        <is>
          <t>*</t>
        </is>
      </c>
      <c r="E144" s="2" t="inlineStr"/>
      <c r="F144" s="2" t="inlineStr">
        <is>
          <t>MEDIUM</t>
        </is>
      </c>
      <c r="G144" s="2" t="inlineStr">
        <is>
          <t>6.3</t>
        </is>
      </c>
      <c r="H144" s="2" t="inlineStr">
        <is>
          <t>CVSS:4.0/AV:N/AC:L/AT:P/PR:N/UI:N/VC:N/VI:L/VA:N/SC:N/SI:N/SA:N/E:X/CR:X/IR:X/AR:X/MAV:X/MAC:X/MAT:X/MPR:X/MUI:X/MVC:X/MVI:X/MVA:X/MSC:X/MSI:X/MSA:X/S:X/AU:X/R:X/V:X/RE:X/U:X</t>
        </is>
      </c>
      <c r="I144" s="2" t="inlineStr">
        <is>
          <t>20260715</t>
        </is>
      </c>
      <c r="J144" s="2" t="inlineStr">
        <is>
          <t>20261025</t>
        </is>
      </c>
      <c r="K144" s="2" t="inlineStr">
        <is>
          <t>N</t>
        </is>
      </c>
      <c r="L144" s="2" t="inlineStr">
        <is>
          <t>[버전범위 불명확] n8n before version 2.10.0 contains an input validation vulnerability in the Guardrail node that allows attackers to bypass default guardrail instructions. End users can craft malicious inputs to circumvent guardrail protections and compromise workflow integrity.</t>
        </is>
      </c>
      <c r="M144" s="2" t="inlineStr">
        <is>
          <t>https://github.com/n8n-io/n8n/security/advisories/GHSA-fvfv-ppw4-7h2w</t>
        </is>
      </c>
      <c r="N144" s="2" t="inlineStr">
        <is>
          <t>NVD</t>
        </is>
      </c>
      <c r="O144" s="2" t="inlineStr">
        <is>
          <t>npm</t>
        </is>
      </c>
      <c r="P144" s="2" t="inlineStr">
        <is>
          <t>20261025230753</t>
        </is>
      </c>
    </row>
    <row r="145">
      <c r="A145" s="2" t="inlineStr">
        <is>
          <t>CVE-2026-59254</t>
        </is>
      </c>
      <c r="B145" s="2" t="inlineStr">
        <is>
          <t>n8n</t>
        </is>
      </c>
      <c r="C145" s="2" t="inlineStr">
        <is>
          <t>n8n GmbH</t>
        </is>
      </c>
      <c r="D145" s="2" t="inlineStr">
        <is>
          <t>&lt;2.28.1</t>
        </is>
      </c>
      <c r="E145" s="2" t="inlineStr"/>
      <c r="F145" s="2" t="inlineStr">
        <is>
          <t>MEDIUM</t>
        </is>
      </c>
      <c r="G145" s="2" t="inlineStr">
        <is>
          <t>6.3</t>
        </is>
      </c>
      <c r="H145" s="2" t="inlineStr">
        <is>
          <t>CVSS:4.0/AV:N/AC:L/AT:N/PR:L/UI:N/VC:N/VI:N/VA:N/SC:H/SI:N/SA:N/E:X/CR:X/IR:X/AR:X/MAV:X/MAC:X/MAT:X/MPR:X/MUI:X/MVC:X/MVI:X/MVA:X/MSC:X/MSI:X/MSA:X/S:X/AU:X/R:X/V:X/RE:X/U:X</t>
        </is>
      </c>
      <c r="I145" s="2" t="inlineStr">
        <is>
          <t>20260715</t>
        </is>
      </c>
      <c r="J145" s="2" t="inlineStr">
        <is>
          <t>20261024</t>
        </is>
      </c>
      <c r="K145" s="2" t="inlineStr">
        <is>
          <t>N</t>
        </is>
      </c>
      <c r="L145" s="2" t="inlineStr">
        <is>
          <t>n8n before 2.28.1 contains an information disclosure vulnerability where external secrets are incorrectly resolved in workflow node expressions outside credentials scope. Authenticated project editors can read plaintext external secret values by referencing them in node expressions without requiring explicit secrets access permissions.</t>
        </is>
      </c>
      <c r="M145" s="2" t="inlineStr">
        <is>
          <t>https://github.com/n8n-io/n8n/security/advisories/GHSA-2434-3x6q-8r99</t>
        </is>
      </c>
      <c r="N145" s="2" t="inlineStr">
        <is>
          <t>NVD</t>
        </is>
      </c>
      <c r="O145" s="2" t="inlineStr">
        <is>
          <t>npm</t>
        </is>
      </c>
      <c r="P145" s="2" t="inlineStr">
        <is>
          <t>20261025230753</t>
        </is>
      </c>
    </row>
    <row r="146">
      <c r="A146" s="2" t="inlineStr">
        <is>
          <t>CVE-2026-112394</t>
        </is>
      </c>
      <c r="B146" s="2" t="inlineStr">
        <is>
          <t>Pillow</t>
        </is>
      </c>
      <c r="C146" s="2" t="inlineStr">
        <is>
          <t>Python Pillow</t>
        </is>
      </c>
      <c r="D146" s="2" t="inlineStr">
        <is>
          <t>&lt;13.0.0</t>
        </is>
      </c>
      <c r="E146" s="2" t="inlineStr">
        <is>
          <t>13.0.0</t>
        </is>
      </c>
      <c r="F146" s="2" t="inlineStr">
        <is>
          <t>MEDIUM</t>
        </is>
      </c>
      <c r="G146" s="2" t="inlineStr">
        <is>
          <t>6.3</t>
        </is>
      </c>
      <c r="H146" s="2" t="inlineStr">
        <is>
          <t>CVSS:4.0/AV:N/AC:L/AT:P/PR:N/UI:N/VC:L/VI:N/VA:L/SC:N/SI:N/SA:N/E:X/CR:X/IR:X/AR:X/MAV:X/MAC:X/MAT:X/MPR:X/MUI:X/MVC:X/MVI:X/MVA:X/MSC:X/MSI:X/MSA:X/S:X/AU:X/R:X/V:X/RE:X/U:X</t>
        </is>
      </c>
      <c r="I146" s="2" t="inlineStr">
        <is>
          <t>20261019</t>
        </is>
      </c>
      <c r="J146" s="2" t="inlineStr">
        <is>
          <t>20261022</t>
        </is>
      </c>
      <c r="K146" s="2" t="inlineStr">
        <is>
          <t>N</t>
        </is>
      </c>
      <c r="L146" s="2" t="inlineStr">
        <is>
          <t>Pillow is a Python imaging library. Prior to 13.0.0, Pillow's P;2L and P;4L raw decoders can read past the end of an input buffer. ImagingRawDecode calculates a packed-pixel row size, while the unpackers read separately padded bit planes. A caller can supply a buffer and image dimensions whose accepted size is smaller than the unpacker's actual footprint. This can disclose up to three adjacent heap bytes in output pixels or crash the process. This issue is fixed in version 13.0.0.</t>
        </is>
      </c>
      <c r="M146" s="2" t="inlineStr">
        <is>
          <t>https://github.com/python-pillow/Pillow/commit/392ee6f0d19a4adb766a63e9a99f3c28193b8d31</t>
        </is>
      </c>
      <c r="N146" s="2" t="inlineStr">
        <is>
          <t>NVD+OSV+GHSA</t>
        </is>
      </c>
      <c r="O146" s="2" t="inlineStr">
        <is>
          <t>pypi</t>
        </is>
      </c>
      <c r="P146" s="2" t="inlineStr">
        <is>
          <t>20261025230840</t>
        </is>
      </c>
    </row>
    <row r="147">
      <c r="A147" s="2" t="inlineStr">
        <is>
          <t>CVE-2026-114501</t>
        </is>
      </c>
      <c r="B147" s="2" t="inlineStr">
        <is>
          <t>Pillow</t>
        </is>
      </c>
      <c r="C147" s="2" t="inlineStr">
        <is>
          <t>Python Pillow</t>
        </is>
      </c>
      <c r="D147" s="2" t="inlineStr">
        <is>
          <t>&gt;=11.2.1,&lt;13.0.0</t>
        </is>
      </c>
      <c r="E147" s="2" t="inlineStr">
        <is>
          <t>13.0.0</t>
        </is>
      </c>
      <c r="F147" s="2" t="inlineStr">
        <is>
          <t>MEDIUM</t>
        </is>
      </c>
      <c r="G147" s="2" t="inlineStr">
        <is>
          <t>6.3</t>
        </is>
      </c>
      <c r="H147" s="2" t="inlineStr">
        <is>
          <t>CVSS:4.0/AV:N/AC:L/AT:P/PR:N/UI:N/VC:L/VI:N/VA:N/SC:N/SI:N/SA:N/E:X/CR:X/IR:X/AR:X/MAV:X/MAC:X/MAT:X/MPR:X/MUI:X/MVC:X/MVI:X/MVA:X/MSC:X/MSI:X/MSA:X/S:X/AU:X/R:X/V:X/RE:X/U:X</t>
        </is>
      </c>
      <c r="I147" s="2" t="inlineStr">
        <is>
          <t>20261021</t>
        </is>
      </c>
      <c r="J147" s="2" t="inlineStr">
        <is>
          <t>20261023</t>
        </is>
      </c>
      <c r="K147" s="2" t="inlineStr">
        <is>
          <t>N</t>
        </is>
      </c>
      <c r="L147" s="2" t="inlineStr">
        <is>
          <t>Pillow is a Python imaging library. From 11.2.1 until 13.0.0, Arrow export assumes that an image's rows are tightly contiguous and exports from im-&gt;blocks[0].ptr even when PILLOW_ALIGNMENT makes aligned_linesize include row padding or an aligned offset before the first row. The resulting Arrow buffer can include uninitialized padding, bytes preceding the first row, or stale heap contents from previously freed images. Applications that configure alignment and export images to Arrow can therefore disclose one user's pixels or other process memory to another user. This issue is fixed in version 13.0.0.</t>
        </is>
      </c>
      <c r="M147" s="2" t="inlineStr">
        <is>
          <t>https://github.com/python-pillow/Pillow/commit/19f64946eb247b973dd4560be7dea3bf979d2e6a</t>
        </is>
      </c>
      <c r="N147" s="2" t="inlineStr">
        <is>
          <t>NVD+OSV+GHSA</t>
        </is>
      </c>
      <c r="O147" s="2" t="inlineStr">
        <is>
          <t>pypi</t>
        </is>
      </c>
      <c r="P147" s="2" t="inlineStr">
        <is>
          <t>20261025230840</t>
        </is>
      </c>
    </row>
    <row r="148">
      <c r="A148" s="2" t="inlineStr">
        <is>
          <t>CVE-2026-112268</t>
        </is>
      </c>
      <c r="B148" s="2" t="inlineStr">
        <is>
          <t>SGLang</t>
        </is>
      </c>
      <c r="C148" s="2" t="inlineStr">
        <is>
          <t>SGLang Project</t>
        </is>
      </c>
      <c r="D148" s="2" t="inlineStr">
        <is>
          <t>&lt;=0.3.2</t>
        </is>
      </c>
      <c r="E148" s="2" t="inlineStr"/>
      <c r="F148" s="2" t="inlineStr">
        <is>
          <t>MEDIUM</t>
        </is>
      </c>
      <c r="G148" s="2" t="inlineStr">
        <is>
          <t>6.3</t>
        </is>
      </c>
      <c r="H148" s="2" t="inlineStr">
        <is>
          <t>CVSS:3.1/AV:N/AC:L/PR:L/UI:N/S:U/C:L/I:L/A:L</t>
        </is>
      </c>
      <c r="I148" s="2" t="inlineStr">
        <is>
          <t>20261019</t>
        </is>
      </c>
      <c r="J148" s="2" t="inlineStr">
        <is>
          <t>20261022</t>
        </is>
      </c>
      <c r="K148" s="2" t="inlineStr">
        <is>
          <t>N</t>
        </is>
      </c>
      <c r="L148" s="2" t="inlineStr">
        <is>
          <t>sglang-router (sgl-model-gateway) through 0.3.2 contains an authorization bypass vulnerability that allows holders of the data-plane API key to access mesh HA management routes because /ha/* endpoints skip control-plane Admin role checks. Attackers can read cluster topology, write gossiped configuration, change global rate limits, and call POST /ha/shutdown to silently dissolve HA coordination.</t>
        </is>
      </c>
      <c r="M148" s="2" t="inlineStr">
        <is>
          <t>https://github.com/sgl-project/sglang/blob/v0.5.22/sgl-model-gateway/src/server.rs#L641-L675</t>
        </is>
      </c>
      <c r="N148" s="2" t="inlineStr">
        <is>
          <t>NVD</t>
        </is>
      </c>
      <c r="O148" s="2" t="inlineStr">
        <is>
          <t>pypi</t>
        </is>
      </c>
      <c r="P148" s="2" t="inlineStr">
        <is>
          <t>20261025230753</t>
        </is>
      </c>
    </row>
    <row r="149">
      <c r="A149" s="2" t="inlineStr">
        <is>
          <t>CVE-2026-112396</t>
        </is>
      </c>
      <c r="B149" s="2" t="inlineStr">
        <is>
          <t>Pillow</t>
        </is>
      </c>
      <c r="C149" s="2" t="inlineStr">
        <is>
          <t>Python Pillow</t>
        </is>
      </c>
      <c r="D149" s="2" t="inlineStr">
        <is>
          <t>&gt;=11.3.0,&lt;13.0.0</t>
        </is>
      </c>
      <c r="E149" s="2" t="inlineStr">
        <is>
          <t>13.0.0</t>
        </is>
      </c>
      <c r="F149" s="2" t="inlineStr">
        <is>
          <t>MEDIUM</t>
        </is>
      </c>
      <c r="G149" s="2" t="inlineStr">
        <is>
          <t>5.9</t>
        </is>
      </c>
      <c r="H149" s="2" t="inlineStr">
        <is>
          <t>CVSS:3.1/AV:N/AC:H/PR:N/UI:N/S:U/C:N/I:N/A:H</t>
        </is>
      </c>
      <c r="I149" s="2" t="inlineStr">
        <is>
          <t>20261019</t>
        </is>
      </c>
      <c r="J149" s="2" t="inlineStr">
        <is>
          <t>20261021</t>
        </is>
      </c>
      <c r="K149" s="2" t="inlineStr">
        <is>
          <t>N</t>
        </is>
      </c>
      <c r="L149" s="2" t="inlineStr">
        <is>
          <t>Pillow is a Python imaging library. From 11.3.0 until 13.0.0, Pillow has a heap use-after-free when libtiff rejects a tag while encoding TIFF data to an in-memory buffer. When an application saves attacker-influenced TIFF tags to BytesIO, libtiff can reject a tag during encoding in ImagingLibTiffEncode; the error path then frees the output buffer without closing or clearing the TIFF handle, and later cleanup flushes through the write callback into freed memory, which can crash the process and may enable code execution. This issue is fixed in version 13.0.0.</t>
        </is>
      </c>
      <c r="M149" s="2" t="inlineStr">
        <is>
          <t>https://github.com/python-pillow/Pillow/commit/dc95da20207827a062cfbf551ee9f6031465a8bb</t>
        </is>
      </c>
      <c r="N149" s="2" t="inlineStr">
        <is>
          <t>NVD+OSV+GHSA</t>
        </is>
      </c>
      <c r="O149" s="2" t="inlineStr">
        <is>
          <t>pypi</t>
        </is>
      </c>
      <c r="P149" s="2" t="inlineStr">
        <is>
          <t>20261025230840</t>
        </is>
      </c>
    </row>
    <row r="150">
      <c r="A150" s="2" t="inlineStr">
        <is>
          <t>CVE-2026-112266</t>
        </is>
      </c>
      <c r="B150" s="2" t="inlineStr">
        <is>
          <t>SGLang</t>
        </is>
      </c>
      <c r="C150" s="2" t="inlineStr">
        <is>
          <t>SGLang Project</t>
        </is>
      </c>
      <c r="D150" s="2" t="inlineStr">
        <is>
          <t>&lt;=0.5.22</t>
        </is>
      </c>
      <c r="E150" s="2" t="inlineStr"/>
      <c r="F150" s="2" t="inlineStr">
        <is>
          <t>MEDIUM</t>
        </is>
      </c>
      <c r="G150" s="2" t="inlineStr">
        <is>
          <t>5.9</t>
        </is>
      </c>
      <c r="H150" s="2" t="inlineStr">
        <is>
          <t>CVSS:3.1/AV:N/AC:H/PR:N/UI:N/S:U/C:N/I:N/A:H</t>
        </is>
      </c>
      <c r="I150" s="2" t="inlineStr">
        <is>
          <t>20261019</t>
        </is>
      </c>
      <c r="J150" s="2" t="inlineStr">
        <is>
          <t>20261019</t>
        </is>
      </c>
      <c r="K150" s="2" t="inlineStr">
        <is>
          <t>N</t>
        </is>
      </c>
      <c r="L150" s="2" t="inlineStr">
        <is>
          <t>SGLang through 0.5.22 contains a denial of service vulnerability that allows API clients to abort other users' in-flight generation requests by supplying a short client-controlled rid. Attackers can submit streaming /generate requests with single hex character rids and disconnect, triggering prefix-matching abort logic that terminates all other clients' requests.</t>
        </is>
      </c>
      <c r="M150" s="2" t="inlineStr">
        <is>
          <t>https://github.com/sgl-project/sglang/blob/v0.5.22/python/sglang/srt/managers/scheduler.py#L5458-L5590</t>
        </is>
      </c>
      <c r="N150" s="2" t="inlineStr">
        <is>
          <t>NVD</t>
        </is>
      </c>
      <c r="O150" s="2" t="inlineStr">
        <is>
          <t>pypi</t>
        </is>
      </c>
      <c r="P150" s="2" t="inlineStr">
        <is>
          <t>20261025230753</t>
        </is>
      </c>
    </row>
    <row r="151">
      <c r="A151" s="2" t="inlineStr">
        <is>
          <t>CVE-2026-24266</t>
        </is>
      </c>
      <c r="B151" s="2" t="inlineStr">
        <is>
          <t>Triton Inference Server</t>
        </is>
      </c>
      <c r="C151" s="2" t="inlineStr">
        <is>
          <t>nvidia</t>
        </is>
      </c>
      <c r="D151" s="2" t="inlineStr">
        <is>
          <t>&lt;=26.03</t>
        </is>
      </c>
      <c r="E151" s="2" t="inlineStr"/>
      <c r="F151" s="2" t="inlineStr">
        <is>
          <t>MEDIUM</t>
        </is>
      </c>
      <c r="G151" s="2" t="inlineStr">
        <is>
          <t>5.9</t>
        </is>
      </c>
      <c r="H151" s="2" t="inlineStr">
        <is>
          <t>CVSS:3.1/AV:N/AC:H/PR:N/UI:N/S:U/C:N/I:N/A:H</t>
        </is>
      </c>
      <c r="I151" s="2" t="inlineStr">
        <is>
          <t>20260701</t>
        </is>
      </c>
      <c r="J151" s="2" t="inlineStr">
        <is>
          <t>20261025</t>
        </is>
      </c>
      <c r="K151" s="2" t="inlineStr">
        <is>
          <t>N</t>
        </is>
      </c>
      <c r="L151" s="2" t="inlineStr">
        <is>
          <t>NVIDIA Triton Inference Server for Linux contains a vulnerability where an attacker can cause a use-after-free issue. A successful exploit of this vulnerability might lead to denial of service.</t>
        </is>
      </c>
      <c r="M151" s="2" t="inlineStr">
        <is>
          <t>https://github.com/NVIDIA/product-security/tree/main/2026/5848</t>
        </is>
      </c>
      <c r="N151" s="2" t="inlineStr">
        <is>
          <t>NVD</t>
        </is>
      </c>
      <c r="O151" s="2" t="inlineStr">
        <is>
          <t>github</t>
        </is>
      </c>
      <c r="P151" s="2" t="inlineStr">
        <is>
          <t>20261025230753</t>
        </is>
      </c>
    </row>
    <row r="152">
      <c r="A152" s="2" t="inlineStr">
        <is>
          <t>CVE-2026-116172</t>
        </is>
      </c>
      <c r="B152" s="2" t="inlineStr">
        <is>
          <t>vLLM</t>
        </is>
      </c>
      <c r="C152" s="2" t="inlineStr">
        <is>
          <t>vLLM Project</t>
        </is>
      </c>
      <c r="D152" s="2" t="inlineStr">
        <is>
          <t>&lt;0.24.0</t>
        </is>
      </c>
      <c r="E152" s="2" t="inlineStr"/>
      <c r="F152" s="2" t="inlineStr">
        <is>
          <t>MEDIUM</t>
        </is>
      </c>
      <c r="G152" s="2" t="inlineStr">
        <is>
          <t>5.9</t>
        </is>
      </c>
      <c r="H152" s="2" t="inlineStr">
        <is>
          <t>CVSS:3.1/AV:N/AC:H/PR:N/UI:N/S:U/C:N/I:N/A:H</t>
        </is>
      </c>
      <c r="I152" s="2" t="inlineStr">
        <is>
          <t>20261025</t>
        </is>
      </c>
      <c r="J152" s="2" t="inlineStr">
        <is>
          <t>20261025</t>
        </is>
      </c>
      <c r="K152" s="2" t="inlineStr">
        <is>
          <t>N</t>
        </is>
      </c>
      <c r="L152" s="2" t="inlineStr">
        <is>
          <t>vLLM from 0.22.0 before 0.24.0 contains an improper input validation vulnerability in the Rust gRPC converter that allows remote attackers to bypass max_logprobs limits via CandidateTokens.top_n. Attackers can send Generate or GenerateStream requests with oversized or integer-wrapping top_n values to trigger torch.topk failures that terminate EngineCore.</t>
        </is>
      </c>
      <c r="M152" s="2" t="inlineStr">
        <is>
          <t>https://github.com/vllm-project/vllm/security/advisories/GHSA-rwfw-xvg3-3937</t>
        </is>
      </c>
      <c r="N152" s="2" t="inlineStr">
        <is>
          <t>NVD</t>
        </is>
      </c>
      <c r="O152" s="2" t="inlineStr">
        <is>
          <t>pypi</t>
        </is>
      </c>
      <c r="P152" s="2" t="inlineStr">
        <is>
          <t>20261025230753</t>
        </is>
      </c>
    </row>
    <row r="153">
      <c r="A153" s="2" t="inlineStr">
        <is>
          <t>CVE-2026-116173</t>
        </is>
      </c>
      <c r="B153" s="2" t="inlineStr">
        <is>
          <t>vLLM</t>
        </is>
      </c>
      <c r="C153" s="2" t="inlineStr">
        <is>
          <t>vLLM Project</t>
        </is>
      </c>
      <c r="D153" s="2" t="inlineStr">
        <is>
          <t>&lt;0.24.0</t>
        </is>
      </c>
      <c r="E153" s="2" t="inlineStr"/>
      <c r="F153" s="2" t="inlineStr">
        <is>
          <t>MEDIUM</t>
        </is>
      </c>
      <c r="G153" s="2" t="inlineStr">
        <is>
          <t>5.9</t>
        </is>
      </c>
      <c r="H153" s="2" t="inlineStr">
        <is>
          <t>CVSS:3.1/AV:N/AC:H/PR:N/UI:N/S:U/C:N/I:N/A:H</t>
        </is>
      </c>
      <c r="I153" s="2" t="inlineStr">
        <is>
          <t>20261025</t>
        </is>
      </c>
      <c r="J153" s="2" t="inlineStr">
        <is>
          <t>20261025</t>
        </is>
      </c>
      <c r="K153" s="2" t="inlineStr">
        <is>
          <t>N</t>
        </is>
      </c>
      <c r="L153" s="2" t="inlineStr">
        <is>
          <t>vLLM from 0.22.0 before 0.24.0 contains a denial of service vulnerability that allows remote attackers to terminate EngineCore by bypassing logprob_token_ids limits in the Rust gRPC frontend. Attackers can send Generate or GenerateStream requests with output_logprobs enabled and more than 128 output_candidates.token_ids, triggering a fatal sampler exception that crashes the engine.</t>
        </is>
      </c>
      <c r="M153" s="2" t="inlineStr">
        <is>
          <t>https://github.com/vllm-project/vllm/security/advisories/GHSA-6pgw-f3pv-4h8q</t>
        </is>
      </c>
      <c r="N153" s="2" t="inlineStr">
        <is>
          <t>NVD</t>
        </is>
      </c>
      <c r="O153" s="2" t="inlineStr">
        <is>
          <t>pypi</t>
        </is>
      </c>
      <c r="P153" s="2" t="inlineStr">
        <is>
          <t>20261025230753</t>
        </is>
      </c>
    </row>
    <row r="154">
      <c r="A154" s="2" t="inlineStr">
        <is>
          <t>CVE-2026-116174</t>
        </is>
      </c>
      <c r="B154" s="2" t="inlineStr">
        <is>
          <t>vLLM</t>
        </is>
      </c>
      <c r="C154" s="2" t="inlineStr">
        <is>
          <t>vLLM Project</t>
        </is>
      </c>
      <c r="D154" s="2" t="inlineStr">
        <is>
          <t>&lt;0.24.0</t>
        </is>
      </c>
      <c r="E154" s="2" t="inlineStr"/>
      <c r="F154" s="2" t="inlineStr">
        <is>
          <t>MEDIUM</t>
        </is>
      </c>
      <c r="G154" s="2" t="inlineStr">
        <is>
          <t>5.9</t>
        </is>
      </c>
      <c r="H154" s="2" t="inlineStr">
        <is>
          <t>CVSS:3.1/AV:N/AC:H/PR:N/UI:N/S:U/C:N/I:N/A:H</t>
        </is>
      </c>
      <c r="I154" s="2" t="inlineStr">
        <is>
          <t>20261025</t>
        </is>
      </c>
      <c r="J154" s="2" t="inlineStr">
        <is>
          <t>20261025</t>
        </is>
      </c>
      <c r="K154" s="2" t="inlineStr">
        <is>
          <t>N</t>
        </is>
      </c>
      <c r="L154" s="2" t="inlineStr">
        <is>
          <t>vLLM from 0.22.0 before 0.24.0 contains an improper input validation vulnerability in the Rust gRPC Generate and GenerateStream service that forwards unchecked prompt token IDs to EngineCore. Attackers can submit requests with out-of-vocabulary prompt.token_ids values to trigger a fatal embedding lookup failure that terminates EngineCore and leaves the server unhealthy.</t>
        </is>
      </c>
      <c r="M154" s="2" t="inlineStr">
        <is>
          <t>https://github.com/vllm-project/vllm/security/advisories/GHSA-w2v2-5662-8v5q</t>
        </is>
      </c>
      <c r="N154" s="2" t="inlineStr">
        <is>
          <t>NVD</t>
        </is>
      </c>
      <c r="O154" s="2" t="inlineStr">
        <is>
          <t>pypi</t>
        </is>
      </c>
      <c r="P154" s="2" t="inlineStr">
        <is>
          <t>20261025230753</t>
        </is>
      </c>
    </row>
    <row r="155">
      <c r="A155" s="2" t="inlineStr">
        <is>
          <t>CVE-2026-116178</t>
        </is>
      </c>
      <c r="B155" s="2" t="inlineStr">
        <is>
          <t>vLLM</t>
        </is>
      </c>
      <c r="C155" s="2" t="inlineStr">
        <is>
          <t>vLLM Project</t>
        </is>
      </c>
      <c r="D155" s="2" t="inlineStr">
        <is>
          <t>&lt;0.30.0</t>
        </is>
      </c>
      <c r="E155" s="2" t="inlineStr"/>
      <c r="F155" s="2" t="inlineStr">
        <is>
          <t>MEDIUM</t>
        </is>
      </c>
      <c r="G155" s="2" t="inlineStr">
        <is>
          <t>5.9</t>
        </is>
      </c>
      <c r="H155" s="2" t="inlineStr">
        <is>
          <t>CVSS:3.1/AV:N/AC:H/PR:N/UI:N/S:U/C:N/I:N/A:H</t>
        </is>
      </c>
      <c r="I155" s="2" t="inlineStr">
        <is>
          <t>20261025</t>
        </is>
      </c>
      <c r="J155" s="2" t="inlineStr">
        <is>
          <t>20261025</t>
        </is>
      </c>
      <c r="K155" s="2" t="inlineStr">
        <is>
          <t>N</t>
        </is>
      </c>
      <c r="L155" s="2" t="inlineStr">
        <is>
          <t>vLLM from 0.20.0 before 0.30.0 contains a denial of service vulnerability that allows remote attackers to crash the engine by sending inconsistent multimodal metadata to the disaggregated /inference/v1/generate endpoint. Attackers can replay a valid multimodal item with repeated or overlapping mm_placeholders ranges or mismatched kwargs_data and mm_hashes lists, producing a negative text span in Qwen2.5-VL position construction that terminates the engine.</t>
        </is>
      </c>
      <c r="M155" s="2" t="inlineStr">
        <is>
          <t>https://github.com/vllm-project/vllm/security/advisories/GHSA-34qw-q2h2-jp3m</t>
        </is>
      </c>
      <c r="N155" s="2" t="inlineStr">
        <is>
          <t>NVD</t>
        </is>
      </c>
      <c r="O155" s="2" t="inlineStr">
        <is>
          <t>pypi</t>
        </is>
      </c>
      <c r="P155" s="2" t="inlineStr">
        <is>
          <t>20261025230753</t>
        </is>
      </c>
    </row>
    <row r="156">
      <c r="A156" s="2" t="inlineStr">
        <is>
          <t>CVE-2026-42309</t>
        </is>
      </c>
      <c r="B156" s="2" t="inlineStr">
        <is>
          <t>Pillow</t>
        </is>
      </c>
      <c r="C156" s="2" t="inlineStr">
        <is>
          <t>Python Pillow</t>
        </is>
      </c>
      <c r="D156" s="2" t="inlineStr">
        <is>
          <t>&gt;=11.2.1,&lt;12.2.0</t>
        </is>
      </c>
      <c r="E156" s="2" t="inlineStr">
        <is>
          <t>12.2.0</t>
        </is>
      </c>
      <c r="F156" s="2" t="inlineStr">
        <is>
          <t>MEDIUM</t>
        </is>
      </c>
      <c r="G156" s="2" t="inlineStr">
        <is>
          <t>5.5</t>
        </is>
      </c>
      <c r="H156" s="2" t="inlineStr">
        <is>
          <t>CVSS:3.1/AV:L/AC:L/PR:L/UI:N/S:U/C:N/I:N/A:H</t>
        </is>
      </c>
      <c r="I156" s="2" t="inlineStr">
        <is>
          <t>20260504</t>
        </is>
      </c>
      <c r="J156" s="2" t="inlineStr">
        <is>
          <t>20261019</t>
        </is>
      </c>
      <c r="K156" s="2" t="inlineStr">
        <is>
          <t>N</t>
        </is>
      </c>
      <c r="L156" s="2" t="inlineStr">
        <is>
          <t>Pillow has a heap buffer overflow with nested list coordinates Passing nested lists as coordinates to APIs that accept coordinates such as `ImagePath.Path`, `ImageDraw.ImageDraw.polygon` and `ImageDraw.ImageDraw.line` could cause a heap buffer overflow, as nested lists were recursively unpacked beyond the allocated buffer. Coordinate lists are now validated to contain exactly two numeric coordinates. This was introduced in Pillow 11.2.1.</t>
        </is>
      </c>
      <c r="M156" s="2" t="inlineStr">
        <is>
          <t>https://github.com/advisories/GHSA-5xmw-vc9v-4wf2</t>
        </is>
      </c>
      <c r="N156" s="2" t="inlineStr">
        <is>
          <t>OSV+GHSA</t>
        </is>
      </c>
      <c r="O156" s="2" t="inlineStr">
        <is>
          <t>pypi</t>
        </is>
      </c>
      <c r="P156" s="2" t="inlineStr">
        <is>
          <t>20261025230840</t>
        </is>
      </c>
    </row>
    <row r="157">
      <c r="A157" s="2" t="inlineStr">
        <is>
          <t>CVE-2026-18266</t>
        </is>
      </c>
      <c r="B157" s="2" t="inlineStr">
        <is>
          <t>Dify</t>
        </is>
      </c>
      <c r="C157" s="2" t="inlineStr">
        <is>
          <t>LangGenius</t>
        </is>
      </c>
      <c r="D157" s="2" t="inlineStr">
        <is>
          <t>*</t>
        </is>
      </c>
      <c r="E157" s="2" t="inlineStr"/>
      <c r="F157" s="2" t="inlineStr">
        <is>
          <t>MEDIUM</t>
        </is>
      </c>
      <c r="G157" s="2" t="inlineStr">
        <is>
          <t>5.4</t>
        </is>
      </c>
      <c r="H157" s="2" t="inlineStr">
        <is>
          <t>CVSS:3.0/AV:N/AC:L/PR:N/UI:R/S:U/C:L/I:L/A:N</t>
        </is>
      </c>
      <c r="I157" s="2" t="inlineStr">
        <is>
          <t>20260729</t>
        </is>
      </c>
      <c r="J157" s="2" t="inlineStr">
        <is>
          <t>20261024</t>
        </is>
      </c>
      <c r="K157" s="2" t="inlineStr">
        <is>
          <t>N</t>
        </is>
      </c>
      <c r="L157" s="2" t="inlineStr">
        <is>
          <t>[버전범위 불명확] Dify AI Workflow oauth_redirect_url Open Redirect Vulnerability. This vulnerability allows remote attackers to disclose sensitive information on affected installations of Dify. User interaction is required to exploit this vulnerability in that the target must visit a malicious page or open a malicious file. The specific flaw exists within the OAuth flow handling in the AppInitializer component. An attacker can force a redirection to a site that serves malicious content. An attacker can leverage this vulnerability to disclose information in the context of the application. Was ZDI-CAN-29196.</t>
        </is>
      </c>
      <c r="M157" s="2" t="inlineStr">
        <is>
          <t>https://www.zerodayinitiative.com/advisories/ZDI-26-452/</t>
        </is>
      </c>
      <c r="N157" s="2" t="inlineStr">
        <is>
          <t>NVD</t>
        </is>
      </c>
      <c r="O157" s="2" t="inlineStr">
        <is>
          <t>github</t>
        </is>
      </c>
      <c r="P157" s="2" t="inlineStr">
        <is>
          <t>20261025230753</t>
        </is>
      </c>
    </row>
    <row r="158">
      <c r="A158" s="2" t="inlineStr">
        <is>
          <t>CVE-2026-6658</t>
        </is>
      </c>
      <c r="B158" s="2" t="inlineStr">
        <is>
          <t>Jupyter Notebook</t>
        </is>
      </c>
      <c r="C158" s="2" t="inlineStr">
        <is>
          <t>Project Jupyter</t>
        </is>
      </c>
      <c r="D158" s="2" t="inlineStr">
        <is>
          <t>*</t>
        </is>
      </c>
      <c r="E158" s="2" t="inlineStr"/>
      <c r="F158" s="2" t="inlineStr">
        <is>
          <t>MEDIUM</t>
        </is>
      </c>
      <c r="G158" s="2" t="inlineStr">
        <is>
          <t>5.4</t>
        </is>
      </c>
      <c r="H158" s="2" t="inlineStr">
        <is>
          <t>CVSS:3.0/AV:N/AC:L/PR:L/UI:R/S:C/C:L/I:L/A:N</t>
        </is>
      </c>
      <c r="I158" s="2" t="inlineStr">
        <is>
          <t>20260626</t>
        </is>
      </c>
      <c r="J158" s="2" t="inlineStr">
        <is>
          <t>20261025</t>
        </is>
      </c>
      <c r="K158" s="2" t="inlineStr">
        <is>
          <t>N</t>
        </is>
      </c>
      <c r="L158" s="2" t="inlineStr">
        <is>
          <t>[버전범위 불명확] A vulnerability in jupyter/nbconvert versions &lt;= 7.17.0 allows for Cross-site Scripting (XSS) via unsanitized `text/vnd.mermaid` output in HTML exports. The `data_mermaid` block in `share/templates/lab/base.html.j2` renders `text/vnd.mermaid` cell output directly into HTML without escaping, enabling attackers to inject arbitrary HTML/JavaScript by breaking out of the `&lt;pre&gt;` tag. This vulnerability impacts any server using nbconvert to render notebooks as HTML, allowing attackers to execute arbitrary JavaScript in the context of users viewing the HTML export.</t>
        </is>
      </c>
      <c r="M158" s="2" t="inlineStr">
        <is>
          <t>https://huntr.com/bounties/47570290-3b26-4477-8cfa-fdef7db5aefe</t>
        </is>
      </c>
      <c r="N158" s="2" t="inlineStr">
        <is>
          <t>NVD</t>
        </is>
      </c>
      <c r="O158" s="2" t="inlineStr">
        <is>
          <t>pypi</t>
        </is>
      </c>
      <c r="P158" s="2" t="inlineStr">
        <is>
          <t>20261025230753</t>
        </is>
      </c>
    </row>
    <row r="159">
      <c r="A159" s="2" t="inlineStr">
        <is>
          <t>CVE-2025-58177</t>
        </is>
      </c>
      <c r="B159" s="2" t="inlineStr">
        <is>
          <t>n8n</t>
        </is>
      </c>
      <c r="C159" s="2" t="inlineStr">
        <is>
          <t>n8n</t>
        </is>
      </c>
      <c r="D159" s="2" t="inlineStr">
        <is>
          <t>&gt;=1.24.0,&lt;1.107.0</t>
        </is>
      </c>
      <c r="E159" s="2" t="inlineStr">
        <is>
          <t>1.107.0</t>
        </is>
      </c>
      <c r="F159" s="2" t="inlineStr">
        <is>
          <t>MEDIUM</t>
        </is>
      </c>
      <c r="G159" s="2" t="inlineStr">
        <is>
          <t>5.4</t>
        </is>
      </c>
      <c r="H159" s="2" t="inlineStr">
        <is>
          <t>CVSS:3.1/AV:N/AC:L/PR:L/UI:R/S:C/C:L/I:L/A:N</t>
        </is>
      </c>
      <c r="I159" s="2" t="inlineStr">
        <is>
          <t>20250915</t>
        </is>
      </c>
      <c r="J159" s="2" t="inlineStr">
        <is>
          <t>20261019</t>
        </is>
      </c>
      <c r="K159" s="2" t="inlineStr">
        <is>
          <t>N</t>
        </is>
      </c>
      <c r="L159" s="2" t="inlineStr">
        <is>
          <t>n8n is an open source workflow automation platform. From 1.24.0 to before 1.107.0, there is a stored cross-site scripting (XSS) vulnerability in @n8n/n8n-nodes-langchain.chatTrigger. An authorized user can configure the LangChain Chat Trigger node with malicious JavaScript in the initialMessages field and enable public access so that the payload is executed in the browser of any user who visits the resulting public chat URL. This can be used for phishing or to steal cookies or other sensitive data from users accessing the public chat link. The issue is fixed in version 1.107.0. Updating to 1.107.0 or later is recommended. As a workaround, the affected chatTrigger node can be disabled. No other workarounds are known.</t>
        </is>
      </c>
      <c r="M159" s="2" t="inlineStr">
        <is>
          <t>https://github.com/n8n-io/n8n/commit/d4ef191be0b39b65efa68559a3b8d5dad2e102b2</t>
        </is>
      </c>
      <c r="N159" s="2" t="inlineStr">
        <is>
          <t>NVD</t>
        </is>
      </c>
      <c r="O159" s="2" t="inlineStr">
        <is>
          <t>npm</t>
        </is>
      </c>
      <c r="P159" s="2" t="inlineStr">
        <is>
          <t>20261025230753</t>
        </is>
      </c>
    </row>
    <row r="160">
      <c r="A160" s="2" t="inlineStr">
        <is>
          <t>CVE-2026-65592</t>
        </is>
      </c>
      <c r="B160" s="2" t="inlineStr">
        <is>
          <t>n8n</t>
        </is>
      </c>
      <c r="C160" s="2" t="inlineStr">
        <is>
          <t>n8n</t>
        </is>
      </c>
      <c r="D160" s="2" t="inlineStr">
        <is>
          <t>&lt;1.123.64|&gt;=2.0.0,&lt;2.29.8|==2.30.0</t>
        </is>
      </c>
      <c r="E160" s="2" t="inlineStr"/>
      <c r="F160" s="2" t="inlineStr">
        <is>
          <t>MEDIUM</t>
        </is>
      </c>
      <c r="G160" s="2" t="inlineStr">
        <is>
          <t>5.4</t>
        </is>
      </c>
      <c r="H160" s="2" t="inlineStr">
        <is>
          <t>CVSS:3.1/AV:N/AC:L/PR:L/UI:R/S:C/C:L/I:L/A:N</t>
        </is>
      </c>
      <c r="I160" s="2" t="inlineStr">
        <is>
          <t>20260722</t>
        </is>
      </c>
      <c r="J160" s="2" t="inlineStr">
        <is>
          <t>20261024</t>
        </is>
      </c>
      <c r="K160" s="2" t="inlineStr">
        <is>
          <t>N</t>
        </is>
      </c>
      <c r="L160" s="2" t="inlineStr">
        <is>
          <t>n8n before 1.123.64, 2.29.8, and 2.30.1 contains a stored DOM cross-site scripting vulnerability in the Resource Locator component, which passes the workflow-persisted cachedResultUrl parameter to window.open() without scheme validation. An attacker with workflow creation/editing privileges can craft a workflow with a malicious (e.g., javascript:) scheme in cachedResultUrl; when a victim opens the crafted workflow and interacts with external links, the payload executes in the victim's browser.</t>
        </is>
      </c>
      <c r="M160" s="2" t="inlineStr">
        <is>
          <t>https://github.com/n8n-io/n8n/security/advisories/GHSA-9wcp-9r3j-383q</t>
        </is>
      </c>
      <c r="N160" s="2" t="inlineStr">
        <is>
          <t>NVD</t>
        </is>
      </c>
      <c r="O160" s="2" t="inlineStr">
        <is>
          <t>npm</t>
        </is>
      </c>
      <c r="P160" s="2" t="inlineStr">
        <is>
          <t>20261025230753</t>
        </is>
      </c>
    </row>
    <row r="161">
      <c r="A161" s="2" t="inlineStr">
        <is>
          <t>CVE-2026-65593</t>
        </is>
      </c>
      <c r="B161" s="2" t="inlineStr">
        <is>
          <t>n8n</t>
        </is>
      </c>
      <c r="C161" s="2" t="inlineStr">
        <is>
          <t>n8n</t>
        </is>
      </c>
      <c r="D161" s="2" t="inlineStr">
        <is>
          <t>&lt;1.123.64|&gt;=2.0.0,&lt;2.29.8|==2.30.0</t>
        </is>
      </c>
      <c r="E161" s="2" t="inlineStr"/>
      <c r="F161" s="2" t="inlineStr">
        <is>
          <t>MEDIUM</t>
        </is>
      </c>
      <c r="G161" s="2" t="inlineStr">
        <is>
          <t>5.4</t>
        </is>
      </c>
      <c r="H161" s="2" t="inlineStr">
        <is>
          <t>CVSS:3.1/AV:N/AC:L/PR:L/UI:N/S:U/C:L/I:L/A:N</t>
        </is>
      </c>
      <c r="I161" s="2" t="inlineStr">
        <is>
          <t>20260722</t>
        </is>
      </c>
      <c r="J161" s="2" t="inlineStr">
        <is>
          <t>20261024</t>
        </is>
      </c>
      <c r="K161" s="2" t="inlineStr">
        <is>
          <t>N</t>
        </is>
      </c>
      <c r="L161" s="2" t="inlineStr">
        <is>
          <t>n8n versions before 1.123.64, 2.29.8, and 2.30.1 contain a server-side request forgery vulnerability in the dynamic-node-parameters endpoints that lack authorization scopes. Authenticated attackers can supply absolute URLs in routing configuration to override baseURL restrictions and make the n8n server issue HTTP requests to arbitrary internal targets when SSRF protection is disabled.</t>
        </is>
      </c>
      <c r="M161" s="2" t="inlineStr">
        <is>
          <t>https://github.com/n8n-io/n8n/security/advisories/GHSA-9w78-79q7-r4fp</t>
        </is>
      </c>
      <c r="N161" s="2" t="inlineStr">
        <is>
          <t>NVD</t>
        </is>
      </c>
      <c r="O161" s="2" t="inlineStr">
        <is>
          <t>npm</t>
        </is>
      </c>
      <c r="P161" s="2" t="inlineStr">
        <is>
          <t>20261025230753</t>
        </is>
      </c>
    </row>
    <row r="162">
      <c r="A162" s="2" t="inlineStr">
        <is>
          <t>CVE-2026-65597</t>
        </is>
      </c>
      <c r="B162" s="2" t="inlineStr">
        <is>
          <t>n8n</t>
        </is>
      </c>
      <c r="C162" s="2" t="inlineStr">
        <is>
          <t>n8n</t>
        </is>
      </c>
      <c r="D162" s="2" t="inlineStr">
        <is>
          <t>&lt;1.123.64|&gt;=2.0.0,&lt;2.29.8|==2.30.0</t>
        </is>
      </c>
      <c r="E162" s="2" t="inlineStr"/>
      <c r="F162" s="2" t="inlineStr">
        <is>
          <t>MEDIUM</t>
        </is>
      </c>
      <c r="G162" s="2" t="inlineStr">
        <is>
          <t>5.4</t>
        </is>
      </c>
      <c r="H162" s="2" t="inlineStr">
        <is>
          <t>CVSS:3.1/AV:N/AC:L/PR:L/UI:R/S:C/C:L/I:L/A:N</t>
        </is>
      </c>
      <c r="I162" s="2" t="inlineStr">
        <is>
          <t>20260722</t>
        </is>
      </c>
      <c r="J162" s="2" t="inlineStr">
        <is>
          <t>20261024</t>
        </is>
      </c>
      <c r="K162" s="2" t="inlineStr">
        <is>
          <t>N</t>
        </is>
      </c>
      <c r="L162" s="2" t="inlineStr">
        <is>
          <t>n8n before 1.123.64, 2.x before 2.29.8, and before 2.30.1 contains a DOM-based cross-site scripting vulnerability in the HTML preview, which renders execution output into an iframe srcdoc without the sandbox attribute. A sanitizer bypass allows injected script to execute same-origin as the editor. When a victim opens the preview, the script can call authenticated APIs using the victim's session. An account with global:member privileges can exploit the issue.</t>
        </is>
      </c>
      <c r="M162" s="2" t="inlineStr">
        <is>
          <t>https://github.com/n8n-io/n8n/security/advisories/GHSA-p3rg-hrf9-w9gj</t>
        </is>
      </c>
      <c r="N162" s="2" t="inlineStr">
        <is>
          <t>NVD</t>
        </is>
      </c>
      <c r="O162" s="2" t="inlineStr">
        <is>
          <t>npm</t>
        </is>
      </c>
      <c r="P162" s="2" t="inlineStr">
        <is>
          <t>20261025230753</t>
        </is>
      </c>
    </row>
    <row r="163">
      <c r="A163" s="2" t="inlineStr">
        <is>
          <t>CVE-2026-85315</t>
        </is>
      </c>
      <c r="B163" s="2" t="inlineStr">
        <is>
          <t>gRPC</t>
        </is>
      </c>
      <c r="C163" s="2" t="inlineStr">
        <is>
          <t>gRPC Authors</t>
        </is>
      </c>
      <c r="D163" s="2" t="inlineStr">
        <is>
          <t>&lt;4.18.5|&lt;4.22.1</t>
        </is>
      </c>
      <c r="E163" s="2" t="inlineStr">
        <is>
          <t>4.18.5</t>
        </is>
      </c>
      <c r="F163" s="2" t="inlineStr">
        <is>
          <t>MEDIUM</t>
        </is>
      </c>
      <c r="G163" s="2" t="inlineStr">
        <is>
          <t>5.3</t>
        </is>
      </c>
      <c r="H163" s="2" t="inlineStr">
        <is>
          <t>CVSS:3.1/AV:N/AC:L/PR:N/UI:N/S:U/C:L/I:N/A:N</t>
        </is>
      </c>
      <c r="I163" s="2" t="inlineStr">
        <is>
          <t>20261019</t>
        </is>
      </c>
      <c r="J163" s="2" t="inlineStr">
        <is>
          <t>20261019</t>
        </is>
      </c>
      <c r="K163" s="2" t="inlineStr">
        <is>
          <t>N</t>
        </is>
      </c>
      <c r="L163" s="2" t="inlineStr">
        <is>
          <t>Apache Camel gRPC 구성 요소의 민감한 정보 취약점을 포함하는 오류 메시지 생성 이 문제는 Apache Camel(4.0.0 이전 4.18.5, 4.19.0 이전 4.22.1)에 영향을 미칩니다. gRPC 소비자 뒤의 경로가 실패하면 예외 메시지가 gRPC 상태 설명에 배치되었습니다. 서버에 로컬로 유지되는 상태 원인과 달리 설명은 호출 클라이언트로 전송되므로 오류를 유발할 수 있는 외부 호출자가 내부 오류 메시지를 읽을 수 있습니다. 공개되는 내용은 예외에 따라 다르며 실제로는 메시지에 포함된 클래스 및 패키지 이름, 경로, 호스트 이름 및 연결 세부 정보가 포함됩니다. 이는 함께 게시된 knative, mina 및 CXF 권고와 동일한 음소거되지 않은 소비자 예외 제품군의 gRPC 구성원입니다. 문제를 해결하는 Apache Camel 4.23.0으로 업그레이드하세요. 4.18.x LTS 릴리스 스트림 사용자는 4.18.5로 업그레이드해야 합니다. 4.22.x LTS 릴리스 스트림 사용자는 4.22.1로 업그레이드해야 합니다. 벙어리</t>
        </is>
      </c>
      <c r="M163" s="2" t="inlineStr">
        <is>
          <t>https://camel.apache.org/security/CVE-2026-85315.html</t>
        </is>
      </c>
      <c r="N163" s="2" t="inlineStr">
        <is>
          <t>NVD</t>
        </is>
      </c>
      <c r="O163" s="2" t="inlineStr">
        <is>
          <t>pypi</t>
        </is>
      </c>
      <c r="P163" s="2" t="inlineStr">
        <is>
          <t>20261025230753</t>
        </is>
      </c>
    </row>
    <row r="164">
      <c r="A164" s="2" t="inlineStr">
        <is>
          <t>CVE-2026-65014</t>
        </is>
      </c>
      <c r="B164" s="2" t="inlineStr">
        <is>
          <t>n8n</t>
        </is>
      </c>
      <c r="C164" s="2" t="inlineStr">
        <is>
          <t>n8n</t>
        </is>
      </c>
      <c r="D164" s="2" t="inlineStr">
        <is>
          <t>&gt;=2.27.0,&lt;2.27.4</t>
        </is>
      </c>
      <c r="E164" s="2" t="inlineStr">
        <is>
          <t>2.27.4</t>
        </is>
      </c>
      <c r="F164" s="2" t="inlineStr">
        <is>
          <t>MEDIUM</t>
        </is>
      </c>
      <c r="G164" s="2" t="inlineStr">
        <is>
          <t>5.3</t>
        </is>
      </c>
      <c r="H164" s="2" t="inlineStr">
        <is>
          <t>CVSS:3.1/AV:N/AC:L/PR:N/UI:N/S:U/C:N/I:N/A:L</t>
        </is>
      </c>
      <c r="I164" s="2" t="inlineStr">
        <is>
          <t>20260722</t>
        </is>
      </c>
      <c r="J164" s="2" t="inlineStr">
        <is>
          <t>20261024</t>
        </is>
      </c>
      <c r="K164" s="2" t="inlineStr">
        <is>
          <t>N</t>
        </is>
      </c>
      <c r="L164" s="2" t="inlineStr">
        <is>
          <t>n8n before 2.28.0 (and before 2.27.4 on the 2.27.x branch) registers the DELETE /${restEndpoint}/test-webhook/:id endpoint before authentication middleware is applied, allowing any unauthenticated network caller who knows a workflow ID to cancel that workflow's active test webhook registration. The impact is limited to disrupting in-progress test sessions; production webhooks, persistent workflow state, and stored data are not affected.</t>
        </is>
      </c>
      <c r="M164" s="2" t="inlineStr">
        <is>
          <t>https://github.com/n8n-io/n8n/security/advisories/GHSA-33q9-f52j-gc75</t>
        </is>
      </c>
      <c r="N164" s="2" t="inlineStr">
        <is>
          <t>NVD</t>
        </is>
      </c>
      <c r="O164" s="2" t="inlineStr">
        <is>
          <t>npm</t>
        </is>
      </c>
      <c r="P164" s="2" t="inlineStr">
        <is>
          <t>20261025230753</t>
        </is>
      </c>
    </row>
    <row r="165">
      <c r="A165" s="2" t="inlineStr">
        <is>
          <t>CVE-2026-59203</t>
        </is>
      </c>
      <c r="B165" s="2" t="inlineStr">
        <is>
          <t>Pillow</t>
        </is>
      </c>
      <c r="C165" s="2" t="inlineStr">
        <is>
          <t>python</t>
        </is>
      </c>
      <c r="D165" s="2" t="inlineStr">
        <is>
          <t>&gt;=12.0.0,&lt;12.3.0</t>
        </is>
      </c>
      <c r="E165" s="2" t="inlineStr">
        <is>
          <t>12.3.0</t>
        </is>
      </c>
      <c r="F165" s="2" t="inlineStr">
        <is>
          <t>MEDIUM</t>
        </is>
      </c>
      <c r="G165" s="2" t="inlineStr">
        <is>
          <t>5.3</t>
        </is>
      </c>
      <c r="H165" s="2" t="inlineStr">
        <is>
          <t>CVSS:3.1/AV:N/AC:L/PR:N/UI:N/S:U/C:N/I:N/A:L</t>
        </is>
      </c>
      <c r="I165" s="2" t="inlineStr">
        <is>
          <t>20260714</t>
        </is>
      </c>
      <c r="J165" s="2" t="inlineStr">
        <is>
          <t>20261024</t>
        </is>
      </c>
      <c r="K165" s="2" t="inlineStr">
        <is>
          <t>N</t>
        </is>
      </c>
      <c r="L165" s="2" t="inlineStr">
        <is>
          <t>Pillow is a Python imaging library. From 12.0.0 through 12.2.0, Pillow's EPS parser in PIL/EpsImagePlugin.py accepts a negative byte count in the %%BeginBinary directive, allowing a crafted EPS file to cause Image.open() to seek backwards to the same directive and parse it repeatedly in an infinite loop. This issue is fixed in version 12.3.0.</t>
        </is>
      </c>
      <c r="M165" s="2" t="inlineStr">
        <is>
          <t>https://github.com/python-pillow/Pillow/commit/03992618118b4a76b6163cd72ab5ecd684133b83</t>
        </is>
      </c>
      <c r="N165" s="2" t="inlineStr">
        <is>
          <t>NVD</t>
        </is>
      </c>
      <c r="O165" s="2" t="inlineStr">
        <is>
          <t>pypi</t>
        </is>
      </c>
      <c r="P165" s="2" t="inlineStr">
        <is>
          <t>20261025230753</t>
        </is>
      </c>
    </row>
    <row r="166">
      <c r="A166" s="2" t="inlineStr">
        <is>
          <t>CVE-2026-112083</t>
        </is>
      </c>
      <c r="B166" s="2" t="inlineStr">
        <is>
          <t>SGLang</t>
        </is>
      </c>
      <c r="C166" s="2" t="inlineStr">
        <is>
          <t>SGLang Project</t>
        </is>
      </c>
      <c r="D166" s="2" t="inlineStr">
        <is>
          <t>&lt;=0.5.19</t>
        </is>
      </c>
      <c r="E166" s="2" t="inlineStr"/>
      <c r="F166" s="2" t="inlineStr">
        <is>
          <t>MEDIUM</t>
        </is>
      </c>
      <c r="G166" s="2" t="inlineStr">
        <is>
          <t>5.3</t>
        </is>
      </c>
      <c r="H166" s="2" t="inlineStr">
        <is>
          <t>CVSS:3.1/AV:N/AC:L/PR:N/UI:N/S:U/C:N/I:N/A:L</t>
        </is>
      </c>
      <c r="I166" s="2" t="inlineStr">
        <is>
          <t>20261019</t>
        </is>
      </c>
      <c r="J166" s="2" t="inlineStr">
        <is>
          <t>20261019</t>
        </is>
      </c>
      <c r="K166" s="2" t="inlineStr">
        <is>
          <t>N</t>
        </is>
      </c>
      <c r="L166" s="2" t="inlineStr">
        <is>
          <t>A security flaw has been discovered in sgl-project SGLang up to 0.5.19. Affected is the function WeightExporter.send_weights_to_remote_instance of the file python/sglang/srt/model_executor/model_runner_components/weight_exporter.py of the component Weight Exporter. Performing a manipulation of the argument group_name results in denial of service. The attack can be initiated remotely. The exploit has been released to the public and may be used for attacks. The pull request to fix this issue awaits acceptance.</t>
        </is>
      </c>
      <c r="M166" s="2" t="inlineStr">
        <is>
          <t>https://github.com/sgl-project/sglang/</t>
        </is>
      </c>
      <c r="N166" s="2" t="inlineStr">
        <is>
          <t>NVD</t>
        </is>
      </c>
      <c r="O166" s="2" t="inlineStr">
        <is>
          <t>pypi</t>
        </is>
      </c>
      <c r="P166" s="2" t="inlineStr">
        <is>
          <t>20261025230753</t>
        </is>
      </c>
    </row>
    <row r="167">
      <c r="A167" s="2" t="inlineStr">
        <is>
          <t>CVE-2026-56777</t>
        </is>
      </c>
      <c r="B167" s="2" t="inlineStr">
        <is>
          <t>n8n</t>
        </is>
      </c>
      <c r="C167" s="2" t="inlineStr">
        <is>
          <t>n8n</t>
        </is>
      </c>
      <c r="D167" s="2" t="inlineStr">
        <is>
          <t>&lt;2.25.7|&gt;=2.26.0,&lt;2.26.2</t>
        </is>
      </c>
      <c r="E167" s="2" t="inlineStr"/>
      <c r="F167" s="2" t="inlineStr">
        <is>
          <t>MEDIUM</t>
        </is>
      </c>
      <c r="G167" s="2" t="inlineStr">
        <is>
          <t>5.0</t>
        </is>
      </c>
      <c r="H167" s="2" t="inlineStr">
        <is>
          <t>CVSS:3.1/AV:N/AC:L/PR:L/UI:N/S:C/C:L/I:N/A:N</t>
        </is>
      </c>
      <c r="I167" s="2" t="inlineStr">
        <is>
          <t>20260630</t>
        </is>
      </c>
      <c r="J167" s="2" t="inlineStr">
        <is>
          <t>20261025</t>
        </is>
      </c>
      <c r="K167" s="2" t="inlineStr">
        <is>
          <t>N</t>
        </is>
      </c>
      <c r="L167" s="2" t="inlineStr">
        <is>
          <t>n8n before 2.25.7 and 2.26.x before 2.26.2 contains an abstract syntax tree (AST) security validator bypass in the Python Code node. An authenticated user with permission to create or modify workflows containing a Python Code node can bypass the validator and access the task executor module namespace. The issue only affects self-hosted instances where the Python Task Runner is enabled; where N8N_BLOCK_RUNNER_ENV_ACCESS is configured to allow it, this can disclose environment variables accessible to the task runner process.</t>
        </is>
      </c>
      <c r="M167" s="2" t="inlineStr">
        <is>
          <t>https://github.com/n8n-io/n8n/security/advisories/GHSA-jwm3-qcfw-c5pp</t>
        </is>
      </c>
      <c r="N167" s="2" t="inlineStr">
        <is>
          <t>NVD</t>
        </is>
      </c>
      <c r="O167" s="2" t="inlineStr">
        <is>
          <t>npm</t>
        </is>
      </c>
      <c r="P167" s="2" t="inlineStr">
        <is>
          <t>20261025230753</t>
        </is>
      </c>
    </row>
    <row r="168">
      <c r="A168" s="2" t="inlineStr">
        <is>
          <t>CVE-2026-56149</t>
        </is>
      </c>
      <c r="B168" s="2" t="inlineStr">
        <is>
          <t>Elasticsearch</t>
        </is>
      </c>
      <c r="C168" s="2" t="inlineStr">
        <is>
          <t>elastic</t>
        </is>
      </c>
      <c r="D168" s="2" t="inlineStr">
        <is>
          <t>&gt;=8.0.0,&lt;8.19.17|&gt;=9.0.0,&lt;9.3.6|&gt;=9.4.0,&lt;9.4.3</t>
        </is>
      </c>
      <c r="E168" s="2" t="inlineStr"/>
      <c r="F168" s="2" t="inlineStr">
        <is>
          <t>MEDIUM</t>
        </is>
      </c>
      <c r="G168" s="2" t="inlineStr">
        <is>
          <t>4.9</t>
        </is>
      </c>
      <c r="H168" s="2" t="inlineStr">
        <is>
          <t>CVSS:3.1/AV:N/AC:L/PR:H/UI:N/S:U/C:N/I:N/A:H</t>
        </is>
      </c>
      <c r="I168" s="2" t="inlineStr">
        <is>
          <t>20260701</t>
        </is>
      </c>
      <c r="J168" s="2" t="inlineStr">
        <is>
          <t>20261025</t>
        </is>
      </c>
      <c r="K168" s="2" t="inlineStr">
        <is>
          <t>N</t>
        </is>
      </c>
      <c r="L168" s="2" t="inlineStr">
        <is>
          <t>Allocation of Resources Without Limits or Throttling (CWE-770) in Elasticsearch can lead to a denial of service via Excessive Allocation (CAPEC-130). A user with elevated privileges can submit a specially crafted machine learning request that causes excessive memory consumption, which may render the affected node unavailable.</t>
        </is>
      </c>
      <c r="M168" s="2" t="inlineStr">
        <is>
          <t>https://discuss.elastic.co/t/elasticsearch-8-19-17-9-3-6-9-4-3-security-update-esa-2026-43</t>
        </is>
      </c>
      <c r="N168" s="2" t="inlineStr">
        <is>
          <t>NVD</t>
        </is>
      </c>
      <c r="O168" s="2" t="inlineStr">
        <is>
          <t>pypi</t>
        </is>
      </c>
      <c r="P168" s="2" t="inlineStr">
        <is>
          <t>20261025230753</t>
        </is>
      </c>
    </row>
    <row r="169">
      <c r="A169" s="2" t="inlineStr">
        <is>
          <t>CVE-2026-56353</t>
        </is>
      </c>
      <c r="B169" s="2" t="inlineStr">
        <is>
          <t>n8n</t>
        </is>
      </c>
      <c r="C169" s="2" t="inlineStr">
        <is>
          <t>n8n</t>
        </is>
      </c>
      <c r="D169" s="2" t="inlineStr">
        <is>
          <t>&lt;1.123.22|&gt;=2.0.0,&lt;2.9.3|==2.10.0</t>
        </is>
      </c>
      <c r="E169" s="2" t="inlineStr"/>
      <c r="F169" s="2" t="inlineStr">
        <is>
          <t>MEDIUM</t>
        </is>
      </c>
      <c r="G169" s="2" t="inlineStr">
        <is>
          <t>4.8</t>
        </is>
      </c>
      <c r="H169" s="2" t="inlineStr">
        <is>
          <t>CVSS:3.1/AV:N/AC:H/PR:N/UI:N/S:U/C:L/I:L/A:N</t>
        </is>
      </c>
      <c r="I169" s="2" t="inlineStr">
        <is>
          <t>20260715</t>
        </is>
      </c>
      <c r="J169" s="2" t="inlineStr">
        <is>
          <t>20261024</t>
        </is>
      </c>
      <c r="K169" s="2" t="inlineStr">
        <is>
          <t>N</t>
        </is>
      </c>
      <c r="L169" s="2" t="inlineStr">
        <is>
          <t>n8n contains an authentication bypass in the Chat Trigger node when configured with n8n User Auth (a non-default configuration). In affected releases — before 1.123.22, the 2.0.0 through 2.9.2 line, and 2.10.0 — the authentication check on the Chat Trigger webhook endpoint can be circumvented, allowing access without valid credentials. Fixed in 1.123.22, 2.9.3, and 2.10.1.</t>
        </is>
      </c>
      <c r="M169" s="2" t="inlineStr">
        <is>
          <t>https://github.com/n8n-io/n8n/security/advisories/GHSA-jh8h-6c9q-7gmw</t>
        </is>
      </c>
      <c r="N169" s="2" t="inlineStr">
        <is>
          <t>NVD</t>
        </is>
      </c>
      <c r="O169" s="2" t="inlineStr">
        <is>
          <t>npm</t>
        </is>
      </c>
      <c r="P169" s="2" t="inlineStr">
        <is>
          <t>20261025230753</t>
        </is>
      </c>
    </row>
    <row r="170">
      <c r="A170" s="2" t="inlineStr">
        <is>
          <t>CVE-2026-55798</t>
        </is>
      </c>
      <c r="B170" s="2" t="inlineStr">
        <is>
          <t>Pillow</t>
        </is>
      </c>
      <c r="C170" s="2" t="inlineStr">
        <is>
          <t>python</t>
        </is>
      </c>
      <c r="D170" s="2" t="inlineStr">
        <is>
          <t>&lt;12.3.0</t>
        </is>
      </c>
      <c r="E170" s="2" t="inlineStr">
        <is>
          <t>12.3.0</t>
        </is>
      </c>
      <c r="F170" s="2" t="inlineStr">
        <is>
          <t>MEDIUM</t>
        </is>
      </c>
      <c r="G170" s="2" t="inlineStr">
        <is>
          <t>4.5</t>
        </is>
      </c>
      <c r="H170" s="2" t="inlineStr">
        <is>
          <t>CVSS:3.1/AV:L/AC:H/PR:N/UI:R/S:U/C:L/I:L/A:L</t>
        </is>
      </c>
      <c r="I170" s="2" t="inlineStr">
        <is>
          <t>20260706</t>
        </is>
      </c>
      <c r="J170" s="2" t="inlineStr">
        <is>
          <t>20261025</t>
        </is>
      </c>
      <c r="K170" s="2" t="inlineStr">
        <is>
          <t>N</t>
        </is>
      </c>
      <c r="L170" s="2" t="inlineStr">
        <is>
          <t>Pillow is a Python imaging library. Prior to 12.3.0, WindowsViewer.get_command() constructed a cmd.exe shell command by directly embedding a file path into an f-string without escaping and passed the result to subprocess.Popen(..., shell=True), allowing shell metacharacters in the file path to inject arbitrary cmd.exe commands. This issue is fixed in version 12.3.0.</t>
        </is>
      </c>
      <c r="M170" s="2" t="inlineStr">
        <is>
          <t>https://github.com/python-pillow/Pillow/commit/8404ea5fe5df40fc34aa1e51403dd6fce0778b8a</t>
        </is>
      </c>
      <c r="N170" s="2" t="inlineStr">
        <is>
          <t>NVD</t>
        </is>
      </c>
      <c r="O170" s="2" t="inlineStr">
        <is>
          <t>pypi</t>
        </is>
      </c>
      <c r="P170" s="2" t="inlineStr">
        <is>
          <t>20261025230753</t>
        </is>
      </c>
    </row>
    <row r="171">
      <c r="A171" s="2" t="inlineStr">
        <is>
          <t>CVE-2026-48789</t>
        </is>
      </c>
      <c r="B171" s="2" t="inlineStr">
        <is>
          <t>AnythingLLM</t>
        </is>
      </c>
      <c r="C171" s="2" t="inlineStr">
        <is>
          <t>Mintplex Labs</t>
        </is>
      </c>
      <c r="D171" s="2" t="inlineStr">
        <is>
          <t>&lt;1.13.0</t>
        </is>
      </c>
      <c r="E171" s="2" t="inlineStr">
        <is>
          <t>1.13.0</t>
        </is>
      </c>
      <c r="F171" s="2" t="inlineStr">
        <is>
          <t>MEDIUM</t>
        </is>
      </c>
      <c r="G171" s="2" t="inlineStr">
        <is>
          <t>4.3</t>
        </is>
      </c>
      <c r="H171" s="2" t="inlineStr">
        <is>
          <t>CVSS:3.1/AV:N/AC:L/PR:L/UI:N/S:U/C:L/I:N/A:N</t>
        </is>
      </c>
      <c r="I171" s="2" t="inlineStr">
        <is>
          <t>20260624</t>
        </is>
      </c>
      <c r="J171" s="2" t="inlineStr">
        <is>
          <t>20261025</t>
        </is>
      </c>
      <c r="K171" s="2" t="inlineStr">
        <is>
          <t>N</t>
        </is>
      </c>
      <c r="L171" s="2" t="inlineStr">
        <is>
          <t>AnythingLLM is an application that turns pieces of content into context that any LLM can use as references during chatting. Prior to 1.13.0, on Windows, the document folder listing route can accept an encoded absolute Windows path that resolves outside the intended documents directory. The shared path containment helper rejects POSIX-style "../" traversal but does not reject Windows-style parent paths returned by path.relative(), such as "..". This vulnerability is fixed in 1.13.0.</t>
        </is>
      </c>
      <c r="M171" s="2" t="inlineStr">
        <is>
          <t>https://github.com/Mintplex-Labs/anything-llm/security/advisories/GHSA-j4m9-wwcq-m868</t>
        </is>
      </c>
      <c r="N171" s="2" t="inlineStr">
        <is>
          <t>NVD</t>
        </is>
      </c>
      <c r="O171" s="2" t="inlineStr">
        <is>
          <t>github</t>
        </is>
      </c>
      <c r="P171" s="2" t="inlineStr">
        <is>
          <t>20261025230753</t>
        </is>
      </c>
    </row>
    <row r="172">
      <c r="A172" s="2" t="inlineStr">
        <is>
          <t>CVE-2026-65920</t>
        </is>
      </c>
      <c r="B172" s="2" t="inlineStr">
        <is>
          <t>Diffusers</t>
        </is>
      </c>
      <c r="C172" s="2" t="inlineStr">
        <is>
          <t>Hugging Face</t>
        </is>
      </c>
      <c r="D172" s="2" t="inlineStr">
        <is>
          <t>&lt;=0.39.0</t>
        </is>
      </c>
      <c r="E172" s="2" t="inlineStr"/>
      <c r="F172" s="2" t="inlineStr">
        <is>
          <t>MEDIUM</t>
        </is>
      </c>
      <c r="G172" s="2" t="inlineStr">
        <is>
          <t>4.3</t>
        </is>
      </c>
      <c r="H172" s="2" t="inlineStr">
        <is>
          <t>CVSS:3.1/AV:N/AC:L/PR:N/UI:R/S:U/C:L/I:N/A:N</t>
        </is>
      </c>
      <c r="I172" s="2" t="inlineStr">
        <is>
          <t>20260723</t>
        </is>
      </c>
      <c r="J172" s="2" t="inlineStr">
        <is>
          <t>20261024</t>
        </is>
      </c>
      <c r="K172" s="2" t="inlineStr">
        <is>
          <t>N</t>
        </is>
      </c>
      <c r="L172" s="2" t="inlineStr">
        <is>
          <t>Diffusers through 0.39.0, fixed in commit cee298c, contains a path traversal vulnerability in the _get_checkpoint_shard_files function that allows attackers to read arbitrary files by supplying malicious weight_map values in model index JSON. Attackers can use ../ sequences or absolute paths in weight_map entries to escape the model directory and read safetensors files outside the intended location during model loading.</t>
        </is>
      </c>
      <c r="M172" s="2" t="inlineStr">
        <is>
          <t>https://github.com/huggingface/diffusers/commit/cee298c1f37c439a9a408396b8283a921238a1c6</t>
        </is>
      </c>
      <c r="N172" s="2" t="inlineStr">
        <is>
          <t>NVD</t>
        </is>
      </c>
      <c r="O172" s="2" t="inlineStr">
        <is>
          <t>pypi</t>
        </is>
      </c>
      <c r="P172" s="2" t="inlineStr">
        <is>
          <t>20261025230753</t>
        </is>
      </c>
    </row>
    <row r="173">
      <c r="A173" s="2" t="inlineStr">
        <is>
          <t>CVE-2025-59842</t>
        </is>
      </c>
      <c r="B173" s="2" t="inlineStr">
        <is>
          <t>JupyterLab</t>
        </is>
      </c>
      <c r="C173" s="2" t="inlineStr">
        <is>
          <t>jupyter</t>
        </is>
      </c>
      <c r="D173" s="2" t="inlineStr">
        <is>
          <t>&lt;4.4.8</t>
        </is>
      </c>
      <c r="E173" s="2" t="inlineStr">
        <is>
          <t>4.4.8</t>
        </is>
      </c>
      <c r="F173" s="2" t="inlineStr">
        <is>
          <t>MEDIUM</t>
        </is>
      </c>
      <c r="G173" s="2" t="inlineStr">
        <is>
          <t>4.3</t>
        </is>
      </c>
      <c r="H173" s="2" t="inlineStr">
        <is>
          <t>CVSS:3.1/AV:N/AC:L/PR:N/UI:R/S:U/C:L/I:N/A:N</t>
        </is>
      </c>
      <c r="I173" s="2" t="inlineStr">
        <is>
          <t>20250926</t>
        </is>
      </c>
      <c r="J173" s="2" t="inlineStr">
        <is>
          <t>20261019</t>
        </is>
      </c>
      <c r="K173" s="2" t="inlineStr">
        <is>
          <t>N</t>
        </is>
      </c>
      <c r="L173" s="2" t="inlineStr">
        <is>
          <t>jupyterlab is an extensible environment for interactive and reproducible computing, based on the Jupyter Notebook Architecture. Prior to version 4.4.8, links generated with LaTeX typesetters in Markdown files and Markdown cells in JupyterLab and Jupyter Notebook did not include the noopener attribute. This is deemed to have no impact on the default installations. Theoretically users of third-party LaTeX-rendering extensions could find themselves vulnerable to reverse tabnabbing attacks if links generated by those extensions included target=_blank (no such extensions are known at time of writing) and they were to click on a link generated in LaTeX (typically visibly different from other links). This issue has been patched in version 4.4.8.</t>
        </is>
      </c>
      <c r="M173" s="2" t="inlineStr">
        <is>
          <t>https://github.com/jupyterlab/jupyterlab/commit/88ef373039a8cc09f27d3814382a512d9033675c</t>
        </is>
      </c>
      <c r="N173" s="2" t="inlineStr">
        <is>
          <t>NVD</t>
        </is>
      </c>
      <c r="O173" s="2" t="inlineStr">
        <is>
          <t>pypi</t>
        </is>
      </c>
      <c r="P173" s="2" t="inlineStr">
        <is>
          <t>20261025230753</t>
        </is>
      </c>
    </row>
    <row r="174">
      <c r="A174" s="2" t="inlineStr">
        <is>
          <t>CVE-2026-58661</t>
        </is>
      </c>
      <c r="B174" s="2" t="inlineStr">
        <is>
          <t>n8n</t>
        </is>
      </c>
      <c r="C174" s="2" t="inlineStr">
        <is>
          <t>n8n</t>
        </is>
      </c>
      <c r="D174" s="2" t="inlineStr">
        <is>
          <t>&lt;1.123.58|&gt;=2.0.0,&lt;2.28.0</t>
        </is>
      </c>
      <c r="E174" s="2" t="inlineStr"/>
      <c r="F174" s="2" t="inlineStr">
        <is>
          <t>MEDIUM</t>
        </is>
      </c>
      <c r="G174" s="2" t="inlineStr">
        <is>
          <t>4.3</t>
        </is>
      </c>
      <c r="H174" s="2" t="inlineStr">
        <is>
          <t>CVSS:3.1/AV:N/AC:L/PR:L/UI:N/S:U/C:N/I:N/A:L</t>
        </is>
      </c>
      <c r="I174" s="2" t="inlineStr">
        <is>
          <t>20260710</t>
        </is>
      </c>
      <c r="J174" s="2" t="inlineStr">
        <is>
          <t>20261024</t>
        </is>
      </c>
      <c r="K174" s="2" t="inlineStr">
        <is>
          <t>N</t>
        </is>
      </c>
      <c r="L174" s="2" t="inlineStr">
        <is>
          <t>n8n before 2.28.0 (and before 1.123.58 on the 1.x branch) contains a disk space exhaustion vulnerability in the data-table file upload endpoint. The per-request quota check does not account for files already written to the shared temporary directory, allowing an authenticated user to repeatedly upload files that accumulate on disk until the periodic cleanup runs, potentially exhausting available disk space on the host.</t>
        </is>
      </c>
      <c r="M174" s="2" t="inlineStr">
        <is>
          <t>https://github.com/n8n-io/n8n/security/advisories/GHSA-w867-jm58-p9pv</t>
        </is>
      </c>
      <c r="N174" s="2" t="inlineStr">
        <is>
          <t>NVD</t>
        </is>
      </c>
      <c r="O174" s="2" t="inlineStr">
        <is>
          <t>npm</t>
        </is>
      </c>
      <c r="P174" s="2" t="inlineStr">
        <is>
          <t>20261025230753</t>
        </is>
      </c>
    </row>
    <row r="175">
      <c r="A175" s="2" t="inlineStr">
        <is>
          <t>CVE-2026-109295</t>
        </is>
      </c>
      <c r="B175" s="2" t="inlineStr">
        <is>
          <t>Open WebUI</t>
        </is>
      </c>
      <c r="C175" s="2" t="inlineStr">
        <is>
          <t>Open WebUI</t>
        </is>
      </c>
      <c r="D175" s="2" t="inlineStr">
        <is>
          <t>&lt;0.11.4</t>
        </is>
      </c>
      <c r="E175" s="2" t="inlineStr"/>
      <c r="F175" s="2" t="inlineStr">
        <is>
          <t>MEDIUM</t>
        </is>
      </c>
      <c r="G175" s="2" t="inlineStr">
        <is>
          <t>4.3</t>
        </is>
      </c>
      <c r="H175" s="2" t="inlineStr">
        <is>
          <t>CVSS:3.1/AV:N/AC:L/PR:L/UI:N/S:U/C:N/I:N/A:L</t>
        </is>
      </c>
      <c r="I175" s="2" t="inlineStr">
        <is>
          <t>20261012</t>
        </is>
      </c>
      <c r="J175" s="2" t="inlineStr">
        <is>
          <t>20261023</t>
        </is>
      </c>
      <c r="K175" s="2" t="inlineStr">
        <is>
          <t>N</t>
        </is>
      </c>
      <c r="L175" s="2" t="inlineStr">
        <is>
          <t>0.11.0 이전 0.11.4의 Open WebUI에는 인증된 사용자가 파일 검색 패턴을 통해 서버 작업자를 정지시킬 수 있는 정규식 서비스 거부 취약점이 포함되어 있습니다. 공격자는 치명적인 역추적 정규식을 사용하여 grep_knowledge_files 또는 grep_chat_files를 호출하도록 모델에 지시하여 반복 호출당 2초 동안 이벤트 루프를 차단할 수 있습니다.</t>
        </is>
      </c>
      <c r="M175" s="2" t="inlineStr">
        <is>
          <t>https://github.com/open-webui/open-webui/security/advisories/GHSA-gfjp-5hc9-852r</t>
        </is>
      </c>
      <c r="N175" s="2" t="inlineStr">
        <is>
          <t>NVD</t>
        </is>
      </c>
      <c r="O175" s="2" t="inlineStr">
        <is>
          <t>pypi</t>
        </is>
      </c>
      <c r="P175" s="2" t="inlineStr">
        <is>
          <t>20261025230753</t>
        </is>
      </c>
    </row>
    <row r="176">
      <c r="A176" s="2" t="inlineStr">
        <is>
          <t>CVE-2026-56360</t>
        </is>
      </c>
      <c r="B176" s="2" t="inlineStr">
        <is>
          <t>n8n</t>
        </is>
      </c>
      <c r="C176" s="2" t="inlineStr">
        <is>
          <t>n8n</t>
        </is>
      </c>
      <c r="D176" s="2" t="inlineStr">
        <is>
          <t>&lt;1.123.18|&gt;=2.0.0,&lt;2.6.2</t>
        </is>
      </c>
      <c r="E176" s="2" t="inlineStr"/>
      <c r="F176" s="2" t="inlineStr">
        <is>
          <t>MEDIUM</t>
        </is>
      </c>
      <c r="G176" s="2" t="inlineStr">
        <is>
          <t>4.0</t>
        </is>
      </c>
      <c r="H176" s="2" t="inlineStr">
        <is>
          <t>CVSS:3.1/AV:N/AC:H/PR:N/UI:N/S:C/C:N/I:L/A:N</t>
        </is>
      </c>
      <c r="I176" s="2" t="inlineStr">
        <is>
          <t>20260708</t>
        </is>
      </c>
      <c r="J176" s="2" t="inlineStr">
        <is>
          <t>20261025</t>
        </is>
      </c>
      <c r="K176" s="2" t="inlineStr">
        <is>
          <t>N</t>
        </is>
      </c>
      <c r="L176" s="2" t="inlineStr">
        <is>
          <t>n8n before versions 1.123.18 and 2.6.2 fails to verify HMAC-SHA256 signatures on Zendesk webhooks in the ZendeskTrigger node. Attackers who know the webhook URL can send unsigned POST requests to trigger workflows with arbitrary malicious data.</t>
        </is>
      </c>
      <c r="M176" s="2" t="inlineStr">
        <is>
          <t>https://github.com/n8n-io/n8n/security/advisories/GHSA-38c7-23hj-2wgq</t>
        </is>
      </c>
      <c r="N176" s="2" t="inlineStr">
        <is>
          <t>NVD</t>
        </is>
      </c>
      <c r="O176" s="2" t="inlineStr">
        <is>
          <t>npm</t>
        </is>
      </c>
      <c r="P176" s="2" t="inlineStr">
        <is>
          <t>20261025230753</t>
        </is>
      </c>
    </row>
    <row r="177">
      <c r="A177" s="2" t="inlineStr">
        <is>
          <t>CVE-2026-112899</t>
        </is>
      </c>
      <c r="B177" s="2" t="inlineStr">
        <is>
          <t>Pillow</t>
        </is>
      </c>
      <c r="C177" s="2" t="inlineStr">
        <is>
          <t>Python Pillow</t>
        </is>
      </c>
      <c r="D177" s="2" t="inlineStr">
        <is>
          <t>&gt;=2.3.0,&lt;13.0.0</t>
        </is>
      </c>
      <c r="E177" s="2" t="inlineStr">
        <is>
          <t>13.0.0</t>
        </is>
      </c>
      <c r="F177" s="2" t="inlineStr">
        <is>
          <t>MEDIUM</t>
        </is>
      </c>
      <c r="G177" s="2" t="inlineStr"/>
      <c r="H177" s="2" t="inlineStr">
        <is>
          <t>CVSS:4.0/AV:N/AC:L/AT:N/PR:N/UI:N/VC:N/VI:N/VA:L/SC:N/SI:N/SA:N</t>
        </is>
      </c>
      <c r="I177" s="2" t="inlineStr">
        <is>
          <t>20261020</t>
        </is>
      </c>
      <c r="J177" s="2" t="inlineStr">
        <is>
          <t>20261020</t>
        </is>
      </c>
      <c r="K177" s="2" t="inlineStr">
        <is>
          <t>N</t>
        </is>
      </c>
      <c r="L177" s="2" t="inlineStr">
        <is>
          <t xml:space="preserve">Pillow: EPS load(scale) lets Ghostscript render past the decompression bomb limit ``` ============================================================================ EPS load(scale) lets Ghostscript render past the decompression bomb limit Location: src/PIL/EpsImagePlugin.py:92 in Ghostscript() Commit: a707c6b21c313880d0771e54965d142dd42358b6 ============================================================================ ``` When an application opens an untrusted Encapsulated PostScript file and asks Pillow to render it at a larger scale, Pillow has Ghostscript produce an image several times bigger than Pillow's configured size limit allows. The size check runs only after Ghostscript has finished rendering and written the full raw image to a temporary file. An attacker who can upload a file of about 100 bytes makes each such request spend scale² times the Ghostscript rendering work and temporary disk space that the limit is meant to permit. For example, at scale 2 that is a 972 MB temporary </t>
        </is>
      </c>
      <c r="M177" s="2" t="inlineStr">
        <is>
          <t>https://github.com/advisories/GHSA-vx6w-vv9f-6gvg</t>
        </is>
      </c>
      <c r="N177" s="2" t="inlineStr">
        <is>
          <t>OSV+GHSA</t>
        </is>
      </c>
      <c r="O177" s="2" t="inlineStr">
        <is>
          <t>pypi</t>
        </is>
      </c>
      <c r="P177" s="2" t="inlineStr">
        <is>
          <t>20261025230840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0" customWidth="1" min="1" max="1"/>
    <col width="110" customWidth="1" min="2" max="2"/>
  </cols>
  <sheetData>
    <row r="1">
      <c r="A1" s="3" t="inlineStr">
        <is>
          <t>KEY</t>
        </is>
      </c>
      <c r="B1" s="3" t="inlineStr">
        <is>
          <t>VALUE</t>
        </is>
      </c>
    </row>
    <row r="2">
      <c r="A2" s="4" t="inlineStr">
        <is>
          <t>RUN_ID</t>
        </is>
      </c>
      <c r="B2" s="4" t="inlineStr">
        <is>
          <t>20261025230745</t>
        </is>
      </c>
    </row>
    <row r="3">
      <c r="A3" s="4" t="inlineStr">
        <is>
          <t>COLLECTED_AT</t>
        </is>
      </c>
      <c r="B3" s="4" t="inlineStr">
        <is>
          <t>20261025233210</t>
        </is>
      </c>
    </row>
    <row r="4">
      <c r="A4" s="4" t="inlineStr">
        <is>
          <t>SCOPE_DESC</t>
        </is>
      </c>
      <c r="B4" s="4" t="inlineStr">
        <is>
          <t>SCOPE lookback=9 sev&gt;=MEDIUM groups=all sw=- in_use=False src=nvd,osv,ghsa,kev scope=delta max=1000</t>
        </is>
      </c>
    </row>
    <row r="5">
      <c r="A5" s="4" t="inlineStr">
        <is>
          <t>DATE_FROM</t>
        </is>
      </c>
      <c r="B5" s="4" t="inlineStr">
        <is>
          <t>20261017</t>
        </is>
      </c>
    </row>
    <row r="6">
      <c r="A6" s="4" t="inlineStr">
        <is>
          <t>DATE_TO</t>
        </is>
      </c>
      <c r="B6" s="4" t="inlineStr">
        <is>
          <t>20261025</t>
        </is>
      </c>
    </row>
    <row r="7">
      <c r="A7" s="4" t="inlineStr">
        <is>
          <t>MIN_SEVERITY</t>
        </is>
      </c>
      <c r="B7" s="4" t="inlineStr">
        <is>
          <t>MEDIUM</t>
        </is>
      </c>
    </row>
    <row r="8">
      <c r="A8" s="4" t="inlineStr">
        <is>
          <t>GROUPS</t>
        </is>
      </c>
      <c r="B8" s="4" t="inlineStr">
        <is>
          <t>all</t>
        </is>
      </c>
    </row>
    <row r="9">
      <c r="A9" s="4" t="inlineStr">
        <is>
          <t>SW_NAMES</t>
        </is>
      </c>
      <c r="B9" s="4" t="inlineStr"/>
    </row>
    <row r="10">
      <c r="A10" s="4" t="inlineStr">
        <is>
          <t>ONLY_IN_USE</t>
        </is>
      </c>
      <c r="B10" s="4" t="inlineStr">
        <is>
          <t>N</t>
        </is>
      </c>
    </row>
    <row r="11">
      <c r="A11" s="4" t="inlineStr">
        <is>
          <t>SOURCES</t>
        </is>
      </c>
      <c r="B11" s="4" t="inlineStr">
        <is>
          <t>nvd,osv,ghsa,kev</t>
        </is>
      </c>
    </row>
    <row r="12">
      <c r="A12" s="4" t="inlineStr">
        <is>
          <t>EXCEL_SCOPE</t>
        </is>
      </c>
      <c r="B12" s="4" t="inlineStr">
        <is>
          <t>delta</t>
        </is>
      </c>
    </row>
    <row r="13">
      <c r="A13" s="4" t="inlineStr">
        <is>
          <t>MAX_ROWS</t>
        </is>
      </c>
      <c r="B13" s="4" t="inlineStr">
        <is>
          <t>1000</t>
        </is>
      </c>
    </row>
    <row r="14">
      <c r="A14" s="4" t="inlineStr">
        <is>
          <t>TRUNCATED_CNT</t>
        </is>
      </c>
      <c r="B14" s="4" t="inlineStr">
        <is>
          <t>0</t>
        </is>
      </c>
    </row>
    <row r="15">
      <c r="A15" s="4" t="inlineStr">
        <is>
          <t>TOTAL_CNT</t>
        </is>
      </c>
      <c r="B15" s="4" t="inlineStr">
        <is>
          <t>176</t>
        </is>
      </c>
    </row>
    <row r="16">
      <c r="A16" s="4" t="inlineStr">
        <is>
          <t>NEW_CNT</t>
        </is>
      </c>
      <c r="B16" s="4" t="inlineStr">
        <is>
          <t>144</t>
        </is>
      </c>
    </row>
    <row r="17">
      <c r="A17" s="4" t="inlineStr">
        <is>
          <t>UPDATED_CNT</t>
        </is>
      </c>
      <c r="B17" s="4" t="inlineStr">
        <is>
          <t>32</t>
        </is>
      </c>
    </row>
    <row r="18">
      <c r="A18" s="4" t="inlineStr">
        <is>
          <t>TOOL_VERSION</t>
        </is>
      </c>
      <c r="B18" s="4" t="inlineStr">
        <is>
          <t>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2026-10-25T23:32:10Z</dcterms:created>
  <dcterms:modified xsi:type="dcterms:W3CDTF">2026-10-25T23:32:10Z</dcterms:modified>
</cp:coreProperties>
</file>